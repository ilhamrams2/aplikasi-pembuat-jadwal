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ownloads\"/>
    </mc:Choice>
  </mc:AlternateContent>
  <xr:revisionPtr revIDLastSave="0" documentId="13_ncr:1_{17FB74E2-11EA-43F9-A2F3-5CE012418CEC}" xr6:coauthVersionLast="47" xr6:coauthVersionMax="47" xr10:uidLastSave="{00000000-0000-0000-0000-000000000000}"/>
  <bookViews>
    <workbookView xWindow="-108" yWindow="-108" windowWidth="23256" windowHeight="12456" tabRatio="0" firstSheet="1" activeTab="1" xr2:uid="{00000000-000D-0000-FFFF-FFFF00000000}"/>
  </bookViews>
  <sheets>
    <sheet name="HOME" sheetId="4" r:id="rId1"/>
    <sheet name="JADWAL UMUM" sheetId="1" r:id="rId2"/>
    <sheet name="JADWAL PER GURU" sheetId="2" r:id="rId3"/>
    <sheet name="JADWAL PER KELAS" sheetId="3" r:id="rId4"/>
    <sheet name="JURNAL" sheetId="7" r:id="rId5"/>
  </sheets>
  <definedNames>
    <definedName name="AKHIR">'JADWAL UMUM'!#REF!</definedName>
    <definedName name="AWAL">'JADWAL UMUM'!#REF!</definedName>
    <definedName name="DATAGURU">'JADWAL UMUM'!$S$15:$T$83</definedName>
    <definedName name="DATAMAPEL">'JADWAL UMUM'!$U$15:$V$83</definedName>
    <definedName name="JUMAT10A">'JADWAL UMUM'!#REF!</definedName>
    <definedName name="JUMAT10B">'JADWAL UMUM'!#REF!</definedName>
    <definedName name="JUMAT1A">'JADWAL UMUM'!$D$70</definedName>
    <definedName name="JUMAT1B">'JADWAL UMUM'!#REF!</definedName>
    <definedName name="JUMAT2A">'JADWAL UMUM'!$D$72</definedName>
    <definedName name="JUMAT2B">'JADWAL UMUM'!#REF!</definedName>
    <definedName name="JUMAT3A">'JADWAL UMUM'!$D$74</definedName>
    <definedName name="JUMAT3B">'JADWAL UMUM'!#REF!</definedName>
    <definedName name="JUMAT4A">'JADWAL UMUM'!$D$76</definedName>
    <definedName name="JUMAT4B">'JADWAL UMUM'!#REF!</definedName>
    <definedName name="JUMAT5A">'JADWAL UMUM'!$D$79</definedName>
    <definedName name="JUMAT5B">'JADWAL UMUM'!#REF!</definedName>
    <definedName name="JUMAT6A">'JADWAL UMUM'!$D$81</definedName>
    <definedName name="JUMAT6B">'JADWAL UMUM'!#REF!</definedName>
    <definedName name="JUMAT7A">'JADWAL UMUM'!#REF!</definedName>
    <definedName name="JUMAT7B">'JADWAL UMUM'!#REF!</definedName>
    <definedName name="JUMAT8A">'JADWAL UMUM'!#REF!</definedName>
    <definedName name="JUMAT8B">'JADWAL UMUM'!#REF!</definedName>
    <definedName name="JUMAT9A">'JADWAL UMUM'!#REF!</definedName>
    <definedName name="JUMAT9B">'JADWAL UMUM'!#REF!</definedName>
    <definedName name="KAMIS10A">'JADWAL UMUM'!#REF!</definedName>
    <definedName name="KAMIS10B">'JADWAL UMUM'!#REF!</definedName>
    <definedName name="KAMIS1A">'JADWAL UMUM'!$D$56</definedName>
    <definedName name="KAMIS1B">'JADWAL UMUM'!#REF!</definedName>
    <definedName name="KAMIS2A">'JADWAL UMUM'!$D$58</definedName>
    <definedName name="KAMIS2B">'JADWAL UMUM'!#REF!</definedName>
    <definedName name="KAMIS3A">'JADWAL UMUM'!$D$60</definedName>
    <definedName name="KAMIS3B">'JADWAL UMUM'!#REF!</definedName>
    <definedName name="KAMIS4A">'JADWAL UMUM'!$D$62</definedName>
    <definedName name="KAMIS4B">'JADWAL UMUM'!#REF!</definedName>
    <definedName name="KAMIS5A">'JADWAL UMUM'!$D$65</definedName>
    <definedName name="KAMIS5B">'JADWAL UMUM'!#REF!</definedName>
    <definedName name="KAMIS6A">'JADWAL UMUM'!$D$67</definedName>
    <definedName name="KAMIS6B">'JADWAL UMUM'!#REF!</definedName>
    <definedName name="KAMIS7A">'JADWAL UMUM'!#REF!</definedName>
    <definedName name="KAMIS7B">'JADWAL UMUM'!#REF!</definedName>
    <definedName name="KAMIS8A">'JADWAL UMUM'!#REF!</definedName>
    <definedName name="KAMIS8B">'JADWAL UMUM'!#REF!</definedName>
    <definedName name="KAMIS9A">'JADWAL UMUM'!#REF!</definedName>
    <definedName name="KAMIS9B">'JADWAL UMUM'!#REF!</definedName>
    <definedName name="KELAS" localSheetId="4">JURNAL!$C$11</definedName>
    <definedName name="KELAS">'JADWAL PER KELAS'!$C$11</definedName>
    <definedName name="KODEGURU">'JADWAL PER GURU'!$D$11</definedName>
    <definedName name="_xlnm.Print_Area" localSheetId="2">'JADWAL PER GURU'!$A$1:$K$60</definedName>
    <definedName name="_xlnm.Print_Area" localSheetId="3">'JADWAL PER KELAS'!$A$1:$K$60</definedName>
    <definedName name="_xlnm.Print_Area" localSheetId="1">'JADWAL UMUM'!$A$1:$V$93</definedName>
    <definedName name="_xlnm.Print_Area" localSheetId="4">JURNAL!$A:$J</definedName>
    <definedName name="RABU10A">'JADWAL UMUM'!#REF!</definedName>
    <definedName name="RABU10B">'JADWAL UMUM'!#REF!</definedName>
    <definedName name="RABU1A">'JADWAL UMUM'!$D$42</definedName>
    <definedName name="RABU1B">'JADWAL UMUM'!#REF!</definedName>
    <definedName name="RABU2A">'JADWAL UMUM'!$D$44</definedName>
    <definedName name="RABU2B">'JADWAL UMUM'!#REF!</definedName>
    <definedName name="RABU3A">'JADWAL UMUM'!$D$46</definedName>
    <definedName name="RABU3B">'JADWAL UMUM'!#REF!</definedName>
    <definedName name="RABU4A">'JADWAL UMUM'!$D$48</definedName>
    <definedName name="RABU4B">'JADWAL UMUM'!#REF!</definedName>
    <definedName name="RABU5A">'JADWAL UMUM'!$D$51</definedName>
    <definedName name="RABU5B">'JADWAL UMUM'!#REF!</definedName>
    <definedName name="RABU6A">'JADWAL UMUM'!$D$53</definedName>
    <definedName name="RABU6B">'JADWAL UMUM'!#REF!</definedName>
    <definedName name="RABU7A">'JADWAL UMUM'!#REF!</definedName>
    <definedName name="RABU7B">'JADWAL UMUM'!#REF!</definedName>
    <definedName name="RABU8A">'JADWAL UMUM'!#REF!</definedName>
    <definedName name="RABU8B">'JADWAL UMUM'!#REF!</definedName>
    <definedName name="RABU9A">'JADWAL UMUM'!#REF!</definedName>
    <definedName name="RABU9B">'JADWAL UMUM'!#REF!</definedName>
    <definedName name="SABTU10A">'JADWAL UMUM'!#REF!</definedName>
    <definedName name="SABTU10B">'JADWAL UMUM'!#REF!</definedName>
    <definedName name="SABTU1A">'JADWAL UMUM'!#REF!</definedName>
    <definedName name="SABTU1B">'JADWAL UMUM'!#REF!</definedName>
    <definedName name="SABTU2A">'JADWAL UMUM'!#REF!</definedName>
    <definedName name="SABTU2B">'JADWAL UMUM'!#REF!</definedName>
    <definedName name="SABTU3A">'JADWAL UMUM'!#REF!</definedName>
    <definedName name="SABTU3B">'JADWAL UMUM'!#REF!</definedName>
    <definedName name="SABTU4A">'JADWAL UMUM'!#REF!</definedName>
    <definedName name="SABTU4B">'JADWAL UMUM'!#REF!</definedName>
    <definedName name="SABTU5A">'JADWAL UMUM'!#REF!</definedName>
    <definedName name="SABTU5B">'JADWAL UMUM'!#REF!</definedName>
    <definedName name="SABTU6A">'JADWAL UMUM'!#REF!</definedName>
    <definedName name="SABTU6B">'JADWAL UMUM'!#REF!</definedName>
    <definedName name="SABTU7A">'JADWAL UMUM'!#REF!</definedName>
    <definedName name="SABTU7B">'JADWAL UMUM'!#REF!</definedName>
    <definedName name="SABTU8A">'JADWAL UMUM'!#REF!</definedName>
    <definedName name="SABTU8B">'JADWAL UMUM'!#REF!</definedName>
    <definedName name="SABTU9A">'JADWAL UMUM'!#REF!</definedName>
    <definedName name="SABTU9B">'JADWAL UMUM'!#REF!</definedName>
    <definedName name="SELASA10A">'JADWAL UMUM'!#REF!</definedName>
    <definedName name="SELASA10B">'JADWAL UMUM'!#REF!</definedName>
    <definedName name="SELASA1A">'JADWAL UMUM'!$D$28</definedName>
    <definedName name="SELASA1B">'JADWAL UMUM'!#REF!</definedName>
    <definedName name="SELASA2A">'JADWAL UMUM'!$D$29</definedName>
    <definedName name="SELASA2B">'JADWAL UMUM'!#REF!</definedName>
    <definedName name="SELASA3A">'JADWAL UMUM'!$D$30</definedName>
    <definedName name="SELASA3B">'JADWAL UMUM'!#REF!</definedName>
    <definedName name="SELASA4A">'JADWAL UMUM'!$D$32</definedName>
    <definedName name="SELASA4B">'JADWAL UMUM'!#REF!</definedName>
    <definedName name="SELASA5A">'JADWAL UMUM'!$D$35</definedName>
    <definedName name="SELASA5B">'JADWAL UMUM'!#REF!</definedName>
    <definedName name="SELASA6A">'JADWAL UMUM'!$D$37</definedName>
    <definedName name="SELASA6B">'JADWAL UMUM'!#REF!</definedName>
    <definedName name="SELASA7A">'JADWAL UMUM'!$D$40</definedName>
    <definedName name="SELASA7B">'JADWAL UMUM'!#REF!</definedName>
    <definedName name="SELASA8A">'JADWAL UMUM'!#REF!</definedName>
    <definedName name="SELASA8B">'JADWAL UMUM'!#REF!</definedName>
    <definedName name="SELASA9A">'JADWAL UMUM'!#REF!</definedName>
    <definedName name="SELASA9B">'JADWAL UMUM'!#REF!</definedName>
    <definedName name="SENIN1A">'JADWAL UMUM'!$D$15</definedName>
    <definedName name="SENIN1B">'JADWAL UMUM'!#REF!</definedName>
    <definedName name="SENIN2A">'JADWAL UMUM'!$D$16</definedName>
    <definedName name="SENIN2B">'JADWAL UMUM'!#REF!</definedName>
    <definedName name="SENIN3A">'JADWAL UMUM'!$D$17</definedName>
    <definedName name="SENIN3B">'JADWAL UMUM'!#REF!</definedName>
    <definedName name="SENIN4A">'JADWAL UMUM'!$D$19</definedName>
    <definedName name="SENIN4B">'JADWAL UMUM'!#REF!</definedName>
    <definedName name="SENIN5A">'JADWAL UMUM'!$D$20</definedName>
    <definedName name="SENIN5B">'JADWAL UMUM'!#REF!</definedName>
    <definedName name="SENIN6A">'JADWAL UMUM'!$D$21</definedName>
    <definedName name="SENIN6B">'JADWAL UMUM'!#REF!</definedName>
    <definedName name="SENIN7A">'JADWAL UMUM'!$D$23</definedName>
    <definedName name="SENIN7B">'JADWAL UMUM'!#REF!</definedName>
    <definedName name="SENIN8A">'JADWAL UMUM'!$D$24</definedName>
    <definedName name="SENIN8B">'JADWAL UMUM'!#REF!</definedName>
    <definedName name="SENIN9A">'JADWAL UMUM'!$D$25</definedName>
    <definedName name="SENIN9B">'JADWAL UMUM'!#REF!</definedName>
  </definedNames>
  <calcPr calcId="191029"/>
</workbook>
</file>

<file path=xl/calcChain.xml><?xml version="1.0" encoding="utf-8"?>
<calcChain xmlns="http://schemas.openxmlformats.org/spreadsheetml/2006/main">
  <c r="R13" i="1" l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D84" i="1"/>
  <c r="A4" i="1"/>
  <c r="A1" i="1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I50" i="3"/>
  <c r="I49" i="3"/>
  <c r="I48" i="3"/>
  <c r="I47" i="3"/>
  <c r="I46" i="3"/>
  <c r="I45" i="3"/>
  <c r="I44" i="3"/>
  <c r="I43" i="3"/>
  <c r="I42" i="3"/>
  <c r="I41" i="3"/>
  <c r="I40" i="3"/>
  <c r="I39" i="3"/>
  <c r="C50" i="3"/>
  <c r="C49" i="3"/>
  <c r="C48" i="3"/>
  <c r="C47" i="3"/>
  <c r="C46" i="3"/>
  <c r="C45" i="3"/>
  <c r="C44" i="3"/>
  <c r="C43" i="3"/>
  <c r="C42" i="3"/>
  <c r="C41" i="3"/>
  <c r="C40" i="3"/>
  <c r="C39" i="3"/>
  <c r="I38" i="3"/>
  <c r="I37" i="3"/>
  <c r="I36" i="3"/>
  <c r="I35" i="3"/>
  <c r="I34" i="3"/>
  <c r="I33" i="3"/>
  <c r="I32" i="3"/>
  <c r="I31" i="3"/>
  <c r="I30" i="3"/>
  <c r="I29" i="3"/>
  <c r="I28" i="3"/>
  <c r="I27" i="3"/>
  <c r="C38" i="3"/>
  <c r="C37" i="3"/>
  <c r="C36" i="3"/>
  <c r="C35" i="3"/>
  <c r="C34" i="3"/>
  <c r="C33" i="3"/>
  <c r="C32" i="3"/>
  <c r="C31" i="3"/>
  <c r="C30" i="3"/>
  <c r="C29" i="3"/>
  <c r="C28" i="3"/>
  <c r="C27" i="3"/>
  <c r="I26" i="3"/>
  <c r="I25" i="3"/>
  <c r="I24" i="3"/>
  <c r="I23" i="3"/>
  <c r="I22" i="3"/>
  <c r="I21" i="3"/>
  <c r="I20" i="3"/>
  <c r="I19" i="3"/>
  <c r="I18" i="3"/>
  <c r="I17" i="3"/>
  <c r="I16" i="3"/>
  <c r="I15" i="3"/>
  <c r="C26" i="3"/>
  <c r="C25" i="3"/>
  <c r="C24" i="3"/>
  <c r="C23" i="3"/>
  <c r="C22" i="3"/>
  <c r="C21" i="3"/>
  <c r="C20" i="3"/>
  <c r="C19" i="3"/>
  <c r="C18" i="3"/>
  <c r="C17" i="3"/>
  <c r="C16" i="3"/>
  <c r="C15" i="3"/>
  <c r="I52" i="2"/>
  <c r="I51" i="2"/>
  <c r="I50" i="2"/>
  <c r="I49" i="2"/>
  <c r="I48" i="2"/>
  <c r="I47" i="2"/>
  <c r="I46" i="2"/>
  <c r="I45" i="2"/>
  <c r="I44" i="2"/>
  <c r="I43" i="2"/>
  <c r="I42" i="2"/>
  <c r="I41" i="2"/>
  <c r="C52" i="2"/>
  <c r="C51" i="2"/>
  <c r="C50" i="2"/>
  <c r="C49" i="2"/>
  <c r="C48" i="2"/>
  <c r="C47" i="2"/>
  <c r="C46" i="2"/>
  <c r="C45" i="2"/>
  <c r="C44" i="2"/>
  <c r="C43" i="2"/>
  <c r="C42" i="2"/>
  <c r="C41" i="2"/>
  <c r="I40" i="2"/>
  <c r="I39" i="2"/>
  <c r="I38" i="2"/>
  <c r="I37" i="2"/>
  <c r="I36" i="2"/>
  <c r="I35" i="2"/>
  <c r="I34" i="2"/>
  <c r="I33" i="2"/>
  <c r="I32" i="2"/>
  <c r="I31" i="2"/>
  <c r="I30" i="2"/>
  <c r="I29" i="2"/>
  <c r="C40" i="2"/>
  <c r="C39" i="2"/>
  <c r="C38" i="2"/>
  <c r="C37" i="2"/>
  <c r="C36" i="2"/>
  <c r="C35" i="2"/>
  <c r="C34" i="2"/>
  <c r="C33" i="2"/>
  <c r="C32" i="2"/>
  <c r="C31" i="2"/>
  <c r="C30" i="2"/>
  <c r="C29" i="2"/>
  <c r="I28" i="2"/>
  <c r="I27" i="2"/>
  <c r="I26" i="2"/>
  <c r="I25" i="2"/>
  <c r="I24" i="2"/>
  <c r="I23" i="2"/>
  <c r="I22" i="2"/>
  <c r="I21" i="2"/>
  <c r="I20" i="2"/>
  <c r="I19" i="2"/>
  <c r="I18" i="2"/>
  <c r="I17" i="2"/>
  <c r="C28" i="2"/>
  <c r="C27" i="2"/>
  <c r="C26" i="2"/>
  <c r="C25" i="2"/>
  <c r="C24" i="2"/>
  <c r="C23" i="2"/>
  <c r="C22" i="2"/>
  <c r="C21" i="2"/>
  <c r="C20" i="2"/>
  <c r="C19" i="2"/>
  <c r="C18" i="2"/>
  <c r="C17" i="2"/>
  <c r="B27" i="3"/>
  <c r="B28" i="3"/>
  <c r="B29" i="3"/>
  <c r="B30" i="3"/>
  <c r="D17" i="2" l="1"/>
  <c r="D19" i="2"/>
  <c r="D20" i="2"/>
  <c r="D22" i="2"/>
  <c r="D23" i="2"/>
  <c r="D25" i="2"/>
  <c r="D26" i="2"/>
  <c r="D27" i="2"/>
  <c r="D28" i="2"/>
  <c r="A75" i="7"/>
  <c r="A63" i="7"/>
  <c r="A51" i="7"/>
  <c r="A39" i="7"/>
  <c r="A27" i="7"/>
  <c r="A15" i="7"/>
  <c r="I91" i="7"/>
  <c r="J52" i="2" l="1"/>
  <c r="B91" i="7"/>
  <c r="B90" i="7"/>
  <c r="B86" i="7"/>
  <c r="B50" i="7"/>
  <c r="B85" i="7"/>
  <c r="B49" i="7"/>
  <c r="B84" i="7"/>
  <c r="B48" i="7"/>
  <c r="B83" i="7"/>
  <c r="B47" i="7"/>
  <c r="B81" i="7"/>
  <c r="B45" i="7"/>
  <c r="B80" i="7"/>
  <c r="B44" i="7"/>
  <c r="B78" i="7"/>
  <c r="B42" i="7"/>
  <c r="B77" i="7"/>
  <c r="B41" i="7"/>
  <c r="B76" i="7"/>
  <c r="B40" i="7"/>
  <c r="B75" i="7"/>
  <c r="B39" i="7"/>
  <c r="B74" i="7"/>
  <c r="B38" i="7"/>
  <c r="B73" i="7"/>
  <c r="B37" i="7"/>
  <c r="B72" i="7"/>
  <c r="B36" i="7"/>
  <c r="B71" i="7"/>
  <c r="B35" i="7"/>
  <c r="B69" i="7"/>
  <c r="B33" i="7"/>
  <c r="B68" i="7"/>
  <c r="B32" i="7"/>
  <c r="B66" i="7"/>
  <c r="B30" i="7"/>
  <c r="B65" i="7"/>
  <c r="B29" i="7"/>
  <c r="B64" i="7"/>
  <c r="B28" i="7"/>
  <c r="B63" i="7"/>
  <c r="B27" i="7"/>
  <c r="B62" i="7"/>
  <c r="B61" i="7"/>
  <c r="B60" i="7"/>
  <c r="B59" i="7"/>
  <c r="B57" i="7"/>
  <c r="B56" i="7"/>
  <c r="B54" i="7"/>
  <c r="B53" i="7"/>
  <c r="B52" i="7"/>
  <c r="B51" i="7"/>
  <c r="D15" i="7"/>
  <c r="H50" i="3"/>
  <c r="H49" i="3"/>
  <c r="H48" i="3"/>
  <c r="H47" i="3"/>
  <c r="H45" i="3"/>
  <c r="H44" i="3"/>
  <c r="H42" i="3"/>
  <c r="H41" i="3"/>
  <c r="H40" i="3"/>
  <c r="H39" i="3"/>
  <c r="K52" i="2"/>
  <c r="K51" i="2"/>
  <c r="J51" i="2"/>
  <c r="K50" i="2"/>
  <c r="J50" i="2"/>
  <c r="K49" i="2"/>
  <c r="J49" i="2"/>
  <c r="J47" i="2"/>
  <c r="K47" i="2"/>
  <c r="K46" i="2"/>
  <c r="J46" i="2"/>
  <c r="K44" i="2"/>
  <c r="J44" i="2"/>
  <c r="K43" i="2"/>
  <c r="K42" i="2"/>
  <c r="J42" i="2"/>
  <c r="K41" i="2"/>
  <c r="H52" i="2"/>
  <c r="H51" i="2"/>
  <c r="H50" i="2"/>
  <c r="H49" i="2"/>
  <c r="H47" i="2"/>
  <c r="H46" i="2"/>
  <c r="H44" i="2"/>
  <c r="H43" i="2"/>
  <c r="H42" i="2"/>
  <c r="H41" i="2"/>
  <c r="A3" i="1"/>
  <c r="B93" i="1"/>
  <c r="B97" i="7" s="1"/>
  <c r="B92" i="1"/>
  <c r="B96" i="7" s="1"/>
  <c r="T93" i="1"/>
  <c r="I97" i="7" s="1"/>
  <c r="T92" i="1"/>
  <c r="I96" i="7" s="1"/>
  <c r="I89" i="7"/>
  <c r="A9" i="1"/>
  <c r="A9" i="3" s="1"/>
  <c r="A8" i="1"/>
  <c r="A8" i="3" s="1"/>
  <c r="A5" i="1"/>
  <c r="A5" i="2" s="1"/>
  <c r="A4" i="2"/>
  <c r="A2" i="1"/>
  <c r="A2" i="2" s="1"/>
  <c r="A1" i="2"/>
  <c r="B2" i="4"/>
  <c r="A1" i="7" l="1"/>
  <c r="A4" i="7"/>
  <c r="A5" i="7"/>
  <c r="A8" i="7"/>
  <c r="A2" i="7"/>
  <c r="A9" i="7"/>
  <c r="A3" i="7"/>
  <c r="A3" i="2"/>
  <c r="J52" i="3"/>
  <c r="D18" i="2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J19" i="2" l="1"/>
  <c r="J43" i="2"/>
  <c r="J41" i="2"/>
  <c r="B54" i="3"/>
  <c r="H38" i="3"/>
  <c r="H26" i="3"/>
  <c r="B50" i="3"/>
  <c r="B38" i="3"/>
  <c r="B55" i="2"/>
  <c r="K40" i="2"/>
  <c r="K39" i="2"/>
  <c r="K38" i="2"/>
  <c r="K37" i="2"/>
  <c r="K35" i="2"/>
  <c r="K34" i="2"/>
  <c r="K32" i="2"/>
  <c r="K31" i="2"/>
  <c r="K30" i="2"/>
  <c r="K29" i="2"/>
  <c r="J40" i="2"/>
  <c r="J39" i="2"/>
  <c r="J38" i="2"/>
  <c r="J37" i="2"/>
  <c r="J35" i="2"/>
  <c r="J34" i="2"/>
  <c r="J32" i="2"/>
  <c r="J31" i="2"/>
  <c r="J30" i="2"/>
  <c r="J29" i="2"/>
  <c r="K28" i="2"/>
  <c r="K27" i="2"/>
  <c r="K26" i="2"/>
  <c r="K25" i="2"/>
  <c r="K23" i="2"/>
  <c r="K22" i="2"/>
  <c r="K20" i="2"/>
  <c r="K19" i="2"/>
  <c r="K18" i="2"/>
  <c r="J28" i="2"/>
  <c r="J27" i="2"/>
  <c r="J26" i="2"/>
  <c r="J25" i="2"/>
  <c r="J23" i="2"/>
  <c r="J22" i="2"/>
  <c r="J20" i="2"/>
  <c r="J18" i="2"/>
  <c r="K17" i="2"/>
  <c r="J17" i="2"/>
  <c r="E52" i="2"/>
  <c r="E51" i="2"/>
  <c r="E50" i="2"/>
  <c r="E49" i="2"/>
  <c r="E47" i="2"/>
  <c r="E46" i="2"/>
  <c r="E44" i="2"/>
  <c r="E43" i="2"/>
  <c r="E42" i="2"/>
  <c r="B41" i="2"/>
  <c r="D52" i="2"/>
  <c r="D51" i="2"/>
  <c r="D50" i="2"/>
  <c r="D49" i="2"/>
  <c r="D47" i="2"/>
  <c r="D46" i="2"/>
  <c r="D44" i="2"/>
  <c r="D43" i="2"/>
  <c r="D42" i="2"/>
  <c r="E41" i="2"/>
  <c r="D41" i="2"/>
  <c r="E40" i="2"/>
  <c r="E39" i="2"/>
  <c r="E38" i="2"/>
  <c r="E37" i="2"/>
  <c r="E35" i="2"/>
  <c r="E34" i="2"/>
  <c r="E32" i="2"/>
  <c r="E31" i="2"/>
  <c r="E30" i="2"/>
  <c r="D40" i="2"/>
  <c r="D39" i="2"/>
  <c r="D38" i="2"/>
  <c r="D37" i="2"/>
  <c r="D35" i="2"/>
  <c r="D34" i="2"/>
  <c r="D32" i="2"/>
  <c r="D31" i="2"/>
  <c r="D30" i="2"/>
  <c r="E29" i="2"/>
  <c r="D29" i="2"/>
  <c r="H40" i="2"/>
  <c r="H28" i="2"/>
  <c r="B52" i="2"/>
  <c r="B40" i="2"/>
  <c r="E28" i="2"/>
  <c r="E27" i="2"/>
  <c r="E26" i="2"/>
  <c r="E25" i="2"/>
  <c r="E23" i="2"/>
  <c r="E22" i="2"/>
  <c r="E20" i="2"/>
  <c r="E19" i="2"/>
  <c r="E18" i="2"/>
  <c r="D12" i="2"/>
  <c r="K38" i="3" l="1"/>
  <c r="D13" i="2"/>
  <c r="K36" i="3"/>
  <c r="D81" i="7"/>
  <c r="D56" i="7"/>
  <c r="E71" i="7"/>
  <c r="E53" i="7"/>
  <c r="D47" i="7"/>
  <c r="D30" i="7"/>
  <c r="E50" i="7"/>
  <c r="E49" i="7"/>
  <c r="E48" i="7"/>
  <c r="E47" i="7"/>
  <c r="E78" i="7"/>
  <c r="E77" i="7"/>
  <c r="E76" i="7"/>
  <c r="E74" i="7"/>
  <c r="E30" i="7"/>
  <c r="E25" i="7"/>
  <c r="E51" i="7"/>
  <c r="J45" i="3"/>
  <c r="D75" i="7"/>
  <c r="D25" i="7"/>
  <c r="D51" i="7"/>
  <c r="D50" i="7"/>
  <c r="E45" i="7"/>
  <c r="E44" i="7"/>
  <c r="E69" i="7"/>
  <c r="E68" i="7"/>
  <c r="E21" i="7"/>
  <c r="E20" i="7"/>
  <c r="K50" i="3"/>
  <c r="K40" i="3"/>
  <c r="J42" i="3"/>
  <c r="D24" i="7"/>
  <c r="D45" i="7"/>
  <c r="D44" i="7"/>
  <c r="D69" i="7"/>
  <c r="D68" i="7"/>
  <c r="D21" i="7"/>
  <c r="D20" i="7"/>
  <c r="K49" i="3"/>
  <c r="K39" i="3"/>
  <c r="J41" i="3"/>
  <c r="D29" i="7"/>
  <c r="E86" i="7"/>
  <c r="E85" i="7"/>
  <c r="E84" i="7"/>
  <c r="E83" i="7"/>
  <c r="E42" i="7"/>
  <c r="E41" i="7"/>
  <c r="E40" i="7"/>
  <c r="E39" i="7"/>
  <c r="E38" i="7"/>
  <c r="E37" i="7"/>
  <c r="E36" i="7"/>
  <c r="E35" i="7"/>
  <c r="E66" i="7"/>
  <c r="E65" i="7"/>
  <c r="E64" i="7"/>
  <c r="E63" i="7"/>
  <c r="E62" i="7"/>
  <c r="E61" i="7"/>
  <c r="E60" i="7"/>
  <c r="E59" i="7"/>
  <c r="E18" i="7"/>
  <c r="E17" i="7"/>
  <c r="E16" i="7"/>
  <c r="K48" i="3"/>
  <c r="J50" i="3"/>
  <c r="J40" i="3"/>
  <c r="D76" i="7"/>
  <c r="D27" i="7"/>
  <c r="D53" i="7"/>
  <c r="K41" i="3"/>
  <c r="D86" i="7"/>
  <c r="D85" i="7"/>
  <c r="D84" i="7"/>
  <c r="D83" i="7"/>
  <c r="D42" i="7"/>
  <c r="D41" i="7"/>
  <c r="D40" i="7"/>
  <c r="D39" i="7"/>
  <c r="D38" i="7"/>
  <c r="D37" i="7"/>
  <c r="D36" i="7"/>
  <c r="D35" i="7"/>
  <c r="D66" i="7"/>
  <c r="D65" i="7"/>
  <c r="D64" i="7"/>
  <c r="D63" i="7"/>
  <c r="D62" i="7"/>
  <c r="D61" i="7"/>
  <c r="D60" i="7"/>
  <c r="D59" i="7"/>
  <c r="D18" i="7"/>
  <c r="D17" i="7"/>
  <c r="D16" i="7"/>
  <c r="K47" i="3"/>
  <c r="J49" i="3"/>
  <c r="J39" i="3"/>
  <c r="E75" i="7"/>
  <c r="E72" i="7"/>
  <c r="E29" i="7"/>
  <c r="E27" i="7"/>
  <c r="E24" i="7"/>
  <c r="E54" i="7"/>
  <c r="K42" i="3"/>
  <c r="D49" i="7"/>
  <c r="D78" i="7"/>
  <c r="D74" i="7"/>
  <c r="D72" i="7"/>
  <c r="D28" i="7"/>
  <c r="D23" i="7"/>
  <c r="D52" i="7"/>
  <c r="J44" i="3"/>
  <c r="E81" i="7"/>
  <c r="E80" i="7"/>
  <c r="E33" i="7"/>
  <c r="E32" i="7"/>
  <c r="E57" i="7"/>
  <c r="E56" i="7"/>
  <c r="K45" i="3"/>
  <c r="J48" i="3"/>
  <c r="D80" i="7"/>
  <c r="D33" i="7"/>
  <c r="D32" i="7"/>
  <c r="D57" i="7"/>
  <c r="K44" i="3"/>
  <c r="J47" i="3"/>
  <c r="E73" i="7"/>
  <c r="E28" i="7"/>
  <c r="E26" i="7"/>
  <c r="E23" i="7"/>
  <c r="E52" i="7"/>
  <c r="D48" i="7"/>
  <c r="D77" i="7"/>
  <c r="D73" i="7"/>
  <c r="D71" i="7"/>
  <c r="D26" i="7"/>
  <c r="D54" i="7"/>
  <c r="E17" i="3"/>
  <c r="E35" i="3"/>
  <c r="E50" i="3"/>
  <c r="D41" i="3"/>
  <c r="E40" i="3"/>
  <c r="D26" i="3"/>
  <c r="J23" i="3"/>
  <c r="K21" i="3"/>
  <c r="J29" i="3"/>
  <c r="D35" i="3"/>
  <c r="K28" i="3"/>
  <c r="D17" i="3"/>
  <c r="D25" i="3"/>
  <c r="D33" i="3"/>
  <c r="E33" i="3"/>
  <c r="D40" i="3"/>
  <c r="D50" i="3"/>
  <c r="E49" i="3"/>
  <c r="J21" i="3"/>
  <c r="K20" i="3"/>
  <c r="J28" i="3"/>
  <c r="J36" i="3"/>
  <c r="K37" i="3"/>
  <c r="D18" i="3"/>
  <c r="E20" i="3"/>
  <c r="D27" i="3"/>
  <c r="D36" i="3"/>
  <c r="E36" i="3"/>
  <c r="D42" i="3"/>
  <c r="E41" i="3"/>
  <c r="J15" i="3"/>
  <c r="J24" i="3"/>
  <c r="K23" i="3"/>
  <c r="J30" i="3"/>
  <c r="K29" i="3"/>
  <c r="E18" i="3"/>
  <c r="E21" i="3"/>
  <c r="E27" i="3"/>
  <c r="D37" i="3"/>
  <c r="E37" i="3"/>
  <c r="D44" i="3"/>
  <c r="E42" i="3"/>
  <c r="K15" i="3"/>
  <c r="J25" i="3"/>
  <c r="K24" i="3"/>
  <c r="J32" i="3"/>
  <c r="K30" i="3"/>
  <c r="D20" i="3"/>
  <c r="E23" i="3"/>
  <c r="D28" i="3"/>
  <c r="D38" i="3"/>
  <c r="E38" i="3"/>
  <c r="D45" i="3"/>
  <c r="E44" i="3"/>
  <c r="J16" i="3"/>
  <c r="J26" i="3"/>
  <c r="K25" i="3"/>
  <c r="J33" i="3"/>
  <c r="K32" i="3"/>
  <c r="D21" i="3"/>
  <c r="E24" i="3"/>
  <c r="D29" i="3"/>
  <c r="E28" i="3"/>
  <c r="E30" i="3"/>
  <c r="D47" i="3"/>
  <c r="E45" i="3"/>
  <c r="J17" i="3"/>
  <c r="K16" i="3"/>
  <c r="K26" i="3"/>
  <c r="J35" i="3"/>
  <c r="K33" i="3"/>
  <c r="D16" i="3"/>
  <c r="D23" i="3"/>
  <c r="E25" i="3"/>
  <c r="D30" i="3"/>
  <c r="E29" i="3"/>
  <c r="D39" i="3"/>
  <c r="D48" i="3"/>
  <c r="E47" i="3"/>
  <c r="J18" i="3"/>
  <c r="K17" i="3"/>
  <c r="J27" i="3"/>
  <c r="J37" i="3"/>
  <c r="K35" i="3"/>
  <c r="E16" i="3"/>
  <c r="D24" i="3"/>
  <c r="E26" i="3"/>
  <c r="D32" i="3"/>
  <c r="E32" i="3"/>
  <c r="E39" i="3"/>
  <c r="D49" i="3"/>
  <c r="E48" i="3"/>
  <c r="J20" i="3"/>
  <c r="K18" i="3"/>
  <c r="K27" i="3"/>
  <c r="J38" i="3"/>
  <c r="X18" i="1"/>
  <c r="D15" i="3" l="1"/>
  <c r="J54" i="3" l="1"/>
  <c r="J59" i="3"/>
  <c r="J60" i="3"/>
  <c r="B60" i="3"/>
  <c r="B59" i="3"/>
  <c r="B53" i="3"/>
  <c r="H16" i="3"/>
  <c r="H17" i="3"/>
  <c r="H18" i="3"/>
  <c r="H20" i="3"/>
  <c r="H21" i="3"/>
  <c r="H23" i="3"/>
  <c r="H24" i="3"/>
  <c r="H25" i="3"/>
  <c r="H27" i="3"/>
  <c r="H28" i="3"/>
  <c r="H29" i="3"/>
  <c r="H30" i="3"/>
  <c r="H32" i="3"/>
  <c r="H33" i="3"/>
  <c r="H35" i="3"/>
  <c r="H36" i="3"/>
  <c r="H37" i="3"/>
  <c r="H15" i="3"/>
  <c r="B32" i="3"/>
  <c r="B33" i="3"/>
  <c r="B35" i="3"/>
  <c r="B36" i="3"/>
  <c r="B37" i="3"/>
  <c r="B39" i="3"/>
  <c r="B40" i="3"/>
  <c r="B41" i="3"/>
  <c r="B42" i="3"/>
  <c r="B44" i="3"/>
  <c r="B45" i="3"/>
  <c r="B47" i="3"/>
  <c r="B48" i="3"/>
  <c r="B49" i="3"/>
  <c r="A2" i="3"/>
  <c r="A3" i="3"/>
  <c r="A4" i="3"/>
  <c r="A5" i="3"/>
  <c r="A1" i="3"/>
  <c r="H29" i="2"/>
  <c r="H30" i="2"/>
  <c r="H31" i="2"/>
  <c r="H32" i="2"/>
  <c r="H34" i="2"/>
  <c r="H35" i="2"/>
  <c r="H37" i="2"/>
  <c r="H38" i="2"/>
  <c r="H39" i="2"/>
  <c r="H18" i="2"/>
  <c r="H19" i="2"/>
  <c r="H20" i="2"/>
  <c r="H22" i="2"/>
  <c r="H23" i="2"/>
  <c r="H25" i="2"/>
  <c r="H26" i="2"/>
  <c r="H27" i="2"/>
  <c r="H17" i="2"/>
  <c r="B29" i="2"/>
  <c r="B30" i="2"/>
  <c r="B31" i="2"/>
  <c r="B32" i="2"/>
  <c r="B34" i="2"/>
  <c r="B35" i="2"/>
  <c r="B37" i="2"/>
  <c r="B38" i="2"/>
  <c r="B39" i="2"/>
  <c r="B42" i="2"/>
  <c r="B43" i="2"/>
  <c r="B44" i="2"/>
  <c r="B46" i="2"/>
  <c r="B47" i="2"/>
  <c r="B49" i="2"/>
  <c r="B50" i="2"/>
  <c r="B51" i="2"/>
  <c r="A9" i="2"/>
  <c r="A8" i="2"/>
  <c r="J55" i="2"/>
  <c r="J59" i="2"/>
  <c r="J60" i="2"/>
  <c r="J54" i="2"/>
  <c r="B60" i="2"/>
  <c r="B59" i="2"/>
  <c r="B54" i="2"/>
</calcChain>
</file>

<file path=xl/sharedStrings.xml><?xml version="1.0" encoding="utf-8"?>
<sst xmlns="http://schemas.openxmlformats.org/spreadsheetml/2006/main" count="382" uniqueCount="223">
  <si>
    <t>HARI</t>
  </si>
  <si>
    <t>WAKTU</t>
  </si>
  <si>
    <t>JAM KE</t>
  </si>
  <si>
    <t>07:00 - 07:45</t>
  </si>
  <si>
    <t>07:45 - 08:30</t>
  </si>
  <si>
    <t>08:30 - 09:15</t>
  </si>
  <si>
    <t>09:15 - 10:00</t>
  </si>
  <si>
    <t>10:15 - 11:00</t>
  </si>
  <si>
    <t>10:00 - 10:15</t>
  </si>
  <si>
    <t>11:00 - 11:45</t>
  </si>
  <si>
    <t>11:45 - 12:30</t>
  </si>
  <si>
    <t>12:30 - 13:15</t>
  </si>
  <si>
    <t>13:15 - 14:00</t>
  </si>
  <si>
    <t>14:00 - 14:45</t>
  </si>
  <si>
    <t>14:45 - 15:30</t>
  </si>
  <si>
    <t>MATA PELAJARAN</t>
  </si>
  <si>
    <t>ALOKASI WAKTU</t>
  </si>
  <si>
    <t>SENIN</t>
  </si>
  <si>
    <t>I S T I R A H A T</t>
  </si>
  <si>
    <t>SELASA</t>
  </si>
  <si>
    <t>RABU</t>
  </si>
  <si>
    <t>KAMIS</t>
  </si>
  <si>
    <t>JUM'AT</t>
  </si>
  <si>
    <t>KODE GURU</t>
  </si>
  <si>
    <t>NAMA GURU</t>
  </si>
  <si>
    <t>Mengetahui:</t>
  </si>
  <si>
    <t>Kepala Sekolah</t>
  </si>
  <si>
    <t>KELAS</t>
  </si>
  <si>
    <t>JADWAL</t>
  </si>
  <si>
    <t>Bahasa Inggris</t>
  </si>
  <si>
    <t>PJOK</t>
  </si>
  <si>
    <t>Seni Budaya</t>
  </si>
  <si>
    <t>01</t>
  </si>
  <si>
    <t>12</t>
  </si>
  <si>
    <t>KODE MAPEL</t>
  </si>
  <si>
    <t>10</t>
  </si>
  <si>
    <t>11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</si>
  <si>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</si>
  <si>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</si>
  <si>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</si>
  <si>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</si>
  <si>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</si>
  <si>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</si>
  <si>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</si>
  <si>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</si>
  <si>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</si>
  <si>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</si>
  <si>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</si>
  <si>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</si>
  <si>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</si>
  <si>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</si>
  <si>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</si>
  <si>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</si>
  <si>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</si>
  <si>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</si>
  <si>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</si>
  <si>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</si>
  <si>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</si>
  <si>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</si>
  <si>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</si>
  <si>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</si>
  <si>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JUMLAH BEBAN</t>
  </si>
  <si>
    <t>7A</t>
  </si>
  <si>
    <t>MATERI</t>
  </si>
  <si>
    <t>CATATAN MASALAH DAN TINDAK LANJUT</t>
  </si>
  <si>
    <t>TANDA TANGAN</t>
  </si>
  <si>
    <t xml:space="preserve"> KURIKULUM MERDEKA</t>
  </si>
  <si>
    <t>:</t>
  </si>
  <si>
    <t>Nama Instansi</t>
  </si>
  <si>
    <t>Nama Sekolah</t>
  </si>
  <si>
    <t>NPSN</t>
  </si>
  <si>
    <t>Alamat</t>
  </si>
  <si>
    <t>Kecamatan</t>
  </si>
  <si>
    <t>Kabupaten / Kota</t>
  </si>
  <si>
    <t>Provinsi</t>
  </si>
  <si>
    <t>Email</t>
  </si>
  <si>
    <t>Website</t>
  </si>
  <si>
    <t>NIP</t>
  </si>
  <si>
    <t>Wakasek Kurikulum</t>
  </si>
  <si>
    <t>Semester</t>
  </si>
  <si>
    <t>Ganjil</t>
  </si>
  <si>
    <t>Tahun Pelajaran</t>
  </si>
  <si>
    <t>Tanggal Cetak Jadwal</t>
  </si>
  <si>
    <t xml:space="preserve"> </t>
  </si>
  <si>
    <t>KELAS 7</t>
  </si>
  <si>
    <t>KELAS 8</t>
  </si>
  <si>
    <t>KELAS 9</t>
  </si>
  <si>
    <t>SABTU</t>
  </si>
  <si>
    <t>MASUKKAN TANGGAL AWAL PEKAN (SENIN)</t>
  </si>
  <si>
    <t>KEMENTERIAN AGAMA REPUBLIK INDONESIA</t>
  </si>
  <si>
    <t>Kantor Kementerian Agama Kota Jakarta Timur</t>
  </si>
  <si>
    <t>MAN 20 Jakarta Timur</t>
  </si>
  <si>
    <t>20177957</t>
  </si>
  <si>
    <t>Jl. DR. KRT. Radjiman Widyadiningrat RT 08 RW 07</t>
  </si>
  <si>
    <t>Kelurahan</t>
  </si>
  <si>
    <t>Pemerintah</t>
  </si>
  <si>
    <t>Jatinegara</t>
  </si>
  <si>
    <t>Cakung</t>
  </si>
  <si>
    <t>Kota</t>
  </si>
  <si>
    <t>Jakarta Timur</t>
  </si>
  <si>
    <t>DKI Jakarta</t>
  </si>
  <si>
    <t>man20jktofficial@gmail.com</t>
  </si>
  <si>
    <t>https://man20jakarta.sch.id/</t>
  </si>
  <si>
    <t>Drs. Sodikin, M.Si</t>
  </si>
  <si>
    <t>196810212003121001</t>
  </si>
  <si>
    <t>Temy Yulianti, M.Pd</t>
  </si>
  <si>
    <t>197712102009122003</t>
  </si>
  <si>
    <t>2026 - 2027</t>
  </si>
  <si>
    <t>12 Oktober 2026</t>
  </si>
  <si>
    <t>06:30 - 07:15</t>
  </si>
  <si>
    <t>07:15 - 08:00</t>
  </si>
  <si>
    <t>08:00 - 08:45</t>
  </si>
  <si>
    <t>08:45 - 09:30</t>
  </si>
  <si>
    <t>09:30 - 09:50</t>
  </si>
  <si>
    <t>09:50 - 10:35</t>
  </si>
  <si>
    <t>10:35 - 11:20</t>
  </si>
  <si>
    <t>11:20 - 12:05</t>
  </si>
  <si>
    <t>12:05 - 12:45</t>
  </si>
  <si>
    <t>12:45 - 13:30</t>
  </si>
  <si>
    <t>13:30 - 14:15</t>
  </si>
  <si>
    <t>14:15 - 15:00</t>
  </si>
  <si>
    <t>2</t>
  </si>
  <si>
    <t>X-1</t>
  </si>
  <si>
    <t>X-2</t>
  </si>
  <si>
    <t>X-3</t>
  </si>
  <si>
    <t>X-4</t>
  </si>
  <si>
    <t>X-5</t>
  </si>
  <si>
    <t>XI-1</t>
  </si>
  <si>
    <t>XI-2</t>
  </si>
  <si>
    <t>XI-3</t>
  </si>
  <si>
    <t>XI-4</t>
  </si>
  <si>
    <t>XI-5</t>
  </si>
  <si>
    <t>XII-1</t>
  </si>
  <si>
    <t>XII-2</t>
  </si>
  <si>
    <t>XII-3</t>
  </si>
  <si>
    <t>XII-4</t>
  </si>
  <si>
    <t>XII-5</t>
  </si>
  <si>
    <t>Revisi 3_Berlaku mulai : Senin, 12 Oktober 2026</t>
  </si>
  <si>
    <t>Drs. SODIKIN M.Si.</t>
  </si>
  <si>
    <t>EFFIYATI PRIHATINI S.Pd, M.Pd</t>
  </si>
  <si>
    <t>DENI SUTEDI MM.Pd</t>
  </si>
  <si>
    <t>SITI RUWAIDAH S. Pd</t>
  </si>
  <si>
    <t>NANANG KOSIM S.Pd.</t>
  </si>
  <si>
    <t>ETI RUSMIATI S.Pd,M.Pd.</t>
  </si>
  <si>
    <t>ENDAH ISMIYATI S.Pd</t>
  </si>
  <si>
    <t>FIRMANSYAH S.Ag,M.Hum.</t>
  </si>
  <si>
    <t>SITI HASANAH S.Ag.</t>
  </si>
  <si>
    <t>MIFTAHUL JANNAH S.Pd,M.Pd.</t>
  </si>
  <si>
    <t>TEMY YULIANTI S.Pd,M.Pd.</t>
  </si>
  <si>
    <t>IIS SURYANI S.Pd.I.</t>
  </si>
  <si>
    <t>IPONG ROHIMAH S.Ag</t>
  </si>
  <si>
    <t>LINDA AGUNG S.TP</t>
  </si>
  <si>
    <t>HASAN BASRI S.Pd, M.Si</t>
  </si>
  <si>
    <t>SITI BAROROH S.Pd.</t>
  </si>
  <si>
    <t>OMID SYAMSUDIN S.Ag</t>
  </si>
  <si>
    <t>HIDAYAT MUSTOFA S.Pd.I</t>
  </si>
  <si>
    <t>MIFTAH EL FALAH, SE.</t>
  </si>
  <si>
    <t>WAHYU UJIANTO S.S.</t>
  </si>
  <si>
    <t>ALI SUBHAN S.Ag.</t>
  </si>
  <si>
    <t>FERIYA HASTUTI SS</t>
  </si>
  <si>
    <t>RIZAL S.Pd.</t>
  </si>
  <si>
    <t>NURHASANAH S.Pd.</t>
  </si>
  <si>
    <t>PUTRI DWI LESTARI S.Pd</t>
  </si>
  <si>
    <t>MUHAMMAD SUWANDI S.Pd</t>
  </si>
  <si>
    <t>LEYLIA ARUM AMALUN NISA S.Pd.</t>
  </si>
  <si>
    <t>ARIEL BONARDO H. LIMBONG S.Pd</t>
  </si>
  <si>
    <t>CITRA ARIYANTI S.Sos</t>
  </si>
  <si>
    <t>HANNY MILLENIA S.Pd</t>
  </si>
  <si>
    <t>LINTANG ADI RAMADHAN S.Pd</t>
  </si>
  <si>
    <t>M. IKHLAS, S.Pd.</t>
  </si>
  <si>
    <t>DIKA SAVITRI, S.Pd.</t>
  </si>
  <si>
    <t>DANDY ARIF RINALDI, S.Pd.</t>
  </si>
  <si>
    <t>MUHAMAD RICO SAPUTRA, S.Pd.</t>
  </si>
  <si>
    <t>DIEGO WAHYU RAMADHAN, S.Kom.</t>
  </si>
  <si>
    <t>SKI</t>
  </si>
  <si>
    <t>Biologi TL</t>
  </si>
  <si>
    <t>Sosiologi ( Wajib dan TL )</t>
  </si>
  <si>
    <t>Bahasa Indonesia ( Wajib dan TL )</t>
  </si>
  <si>
    <t>BK</t>
  </si>
  <si>
    <t>Matematika ( Wajib dan TL )</t>
  </si>
  <si>
    <t>Kimia ( Wajib dan TL )</t>
  </si>
  <si>
    <t>Bahasa Arab ( Wajib dan TL )</t>
  </si>
  <si>
    <t xml:space="preserve">Akidah Akhlak </t>
  </si>
  <si>
    <t>Geografi ( Wajib dan TL )</t>
  </si>
  <si>
    <t>Fikih</t>
  </si>
  <si>
    <t>Fisika ( Wajib dan TL )</t>
  </si>
  <si>
    <t>Ekonomi Dan Keterampilan</t>
  </si>
  <si>
    <t>Ekonomi TL</t>
  </si>
  <si>
    <t>Quran Hadist Dan AA</t>
  </si>
  <si>
    <t>Keterampilan</t>
  </si>
  <si>
    <t>Bahasa Inggris TL</t>
  </si>
  <si>
    <t>Quran Hadist</t>
  </si>
  <si>
    <t>Matematika ( Wajib )</t>
  </si>
  <si>
    <t>Sejarah ( Wajib dan TL )</t>
  </si>
  <si>
    <t>Bahasa Indonesia (W dan TL )</t>
  </si>
  <si>
    <t>Bahasa Indonesia (w dan TL )</t>
  </si>
  <si>
    <t>Pend. Pancasila Dan Geo TL</t>
  </si>
  <si>
    <t>Biologi ( Wajib dan TL )</t>
  </si>
  <si>
    <t>Pend. Pancasila Dan SI</t>
  </si>
  <si>
    <t>Hafalan Quran</t>
  </si>
  <si>
    <t>Informatika</t>
  </si>
  <si>
    <t xml:space="preserve">No </t>
  </si>
  <si>
    <t>WALI KELAS</t>
  </si>
  <si>
    <t>LINDA AGUNG, S.TP</t>
  </si>
  <si>
    <t>SITI RUWAIDAH, S.Pd.</t>
  </si>
  <si>
    <t>MIFTAH EL FALAH, S.Pd</t>
  </si>
  <si>
    <t>MIFTAHUL JANNAH, M.Si.</t>
  </si>
  <si>
    <t>LEYLIA ARUM AMALUN NISA S.Pd</t>
  </si>
  <si>
    <t>FERIYA HASTUTI, S.S.</t>
  </si>
  <si>
    <t>ALI SUBHAN, S.Ag.</t>
  </si>
  <si>
    <t>SITI HASANAH, S.Ag.</t>
  </si>
  <si>
    <t>FIRMANSYAH, S.Ag., M.Hum.</t>
  </si>
  <si>
    <t>DENI SUTEDI, MM.Pd.</t>
  </si>
  <si>
    <t>SITI BAROROH S.Pd</t>
  </si>
  <si>
    <t>Wakil Kepala Bidang Akademik</t>
  </si>
  <si>
    <t>3</t>
  </si>
  <si>
    <t>4</t>
  </si>
  <si>
    <t>5</t>
  </si>
  <si>
    <t>6</t>
  </si>
  <si>
    <t>7</t>
  </si>
  <si>
    <t>8</t>
  </si>
  <si>
    <t>9</t>
  </si>
  <si>
    <t>15E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</si>
</sst>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@\ * &quot;:&quot;"/>
    <numFmt numFmtId="165" formatCode="0#"/>
    <numFmt numFmtId="166" formatCode="[$-F800]dddd\,\ mmmm\ dd\,\ yyyy"/>
  </numFmts>
  <fonts count="52" x14ac:knownFonts="1">
    <font>
      <sz val="11"/>
      <color theme="1"/>
      <name val="Calibri"/>
      <family val="2"/>
      <charset val="1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charset val="1"/>
      <scheme val="minor"/>
    </font>
    <font>
      <sz val="18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4"/>
      <color theme="1"/>
      <name val="Calibri"/>
      <family val="2"/>
      <charset val="1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charset val="1"/>
      <scheme val="minor"/>
    </font>
    <font>
      <b/>
      <sz val="15"/>
      <color theme="1"/>
      <name val="Calibri"/>
      <family val="2"/>
      <scheme val="minor"/>
    </font>
    <font>
      <b/>
      <sz val="14"/>
      <color theme="1"/>
      <name val="Calibri"/>
      <family val="2"/>
      <charset val="1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8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2"/>
      <name val="Cooper Black"/>
      <family val="1"/>
    </font>
    <font>
      <b/>
      <sz val="22"/>
      <color theme="0"/>
      <name val="Cooper Black"/>
      <family val="1"/>
    </font>
    <font>
      <b/>
      <sz val="12"/>
      <name val="Calibri"/>
      <family val="2"/>
      <scheme val="minor"/>
    </font>
    <font>
      <sz val="10"/>
      <name val="Arial"/>
      <family val="2"/>
    </font>
    <font>
      <b/>
      <sz val="24"/>
      <color theme="0"/>
      <name val="Arial"/>
      <family val="2"/>
      <charset val="1"/>
    </font>
    <font>
      <sz val="11"/>
      <color theme="0"/>
      <name val="Arial"/>
      <family val="2"/>
      <charset val="1"/>
    </font>
    <font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2"/>
      <color indexed="30"/>
      <name val="Arial"/>
      <family val="2"/>
    </font>
    <font>
      <u/>
      <sz val="10"/>
      <color theme="0"/>
      <name val="Trebuchet MS"/>
      <family val="2"/>
      <charset val="1"/>
    </font>
    <font>
      <b/>
      <sz val="24"/>
      <color theme="0"/>
      <name val="Franklin Gothic Heavy"/>
      <family val="2"/>
    </font>
    <font>
      <sz val="20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u/>
      <sz val="12"/>
      <color theme="0"/>
      <name val="Calibri"/>
      <family val="2"/>
      <charset val="1"/>
      <scheme val="minor"/>
    </font>
    <font>
      <sz val="14"/>
      <name val="Calibri"/>
      <family val="2"/>
      <scheme val="minor"/>
    </font>
    <font>
      <sz val="10"/>
      <color theme="1"/>
      <name val="Times New Roman"/>
      <family val="1"/>
    </font>
    <font>
      <sz val="10"/>
      <name val="Calibri"/>
      <family val="2"/>
    </font>
    <font>
      <sz val="10"/>
      <color theme="1"/>
      <name val="Calibri"/>
      <family val="2"/>
    </font>
    <font>
      <u/>
      <sz val="10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gray0625"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CD5B4"/>
        <bgColor rgb="FFFCD5B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3" fillId="0" borderId="0" applyNumberFormat="0" applyFill="0" applyBorder="0" applyAlignment="0" applyProtection="0"/>
    <xf numFmtId="0" fontId="27" fillId="0" borderId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8" xfId="0" applyFont="1" applyBorder="1" applyAlignment="1">
      <alignment horizontal="center" vertical="center"/>
    </xf>
    <xf numFmtId="0" fontId="11" fillId="0" borderId="10" xfId="0" applyFont="1" applyBorder="1" applyAlignment="1">
      <alignment horizontal="left" vertical="center" shrinkToFit="1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left" vertical="center" shrinkToFit="1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left" vertical="center" shrinkToFit="1"/>
    </xf>
    <xf numFmtId="49" fontId="0" fillId="0" borderId="0" xfId="0" applyNumberFormat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1" xfId="0" applyFont="1" applyBorder="1" applyAlignment="1">
      <alignment horizontal="left" vertical="center" shrinkToFit="1"/>
    </xf>
    <xf numFmtId="0" fontId="11" fillId="0" borderId="13" xfId="0" applyFont="1" applyBorder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0" fontId="11" fillId="0" borderId="12" xfId="0" applyFont="1" applyBorder="1" applyAlignment="1">
      <alignment horizontal="left" vertical="center" indent="1" shrinkToFit="1"/>
    </xf>
    <xf numFmtId="0" fontId="11" fillId="0" borderId="10" xfId="0" applyFont="1" applyBorder="1" applyAlignment="1">
      <alignment horizontal="left" vertical="center" indent="1" shrinkToFit="1"/>
    </xf>
    <xf numFmtId="0" fontId="11" fillId="0" borderId="14" xfId="0" applyFont="1" applyBorder="1" applyAlignment="1">
      <alignment horizontal="left" vertical="center" indent="1" shrinkToFit="1"/>
    </xf>
    <xf numFmtId="0" fontId="19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0" fillId="4" borderId="0" xfId="0" applyFont="1" applyFill="1" applyAlignment="1">
      <alignment vertical="center"/>
    </xf>
    <xf numFmtId="0" fontId="11" fillId="4" borderId="1" xfId="0" applyFont="1" applyFill="1" applyBorder="1" applyAlignment="1">
      <alignment horizontal="left" vertical="center" shrinkToFit="1"/>
    </xf>
    <xf numFmtId="0" fontId="11" fillId="4" borderId="12" xfId="0" applyFont="1" applyFill="1" applyBorder="1" applyAlignment="1">
      <alignment horizontal="left" vertical="center" shrinkToFit="1"/>
    </xf>
    <xf numFmtId="0" fontId="11" fillId="4" borderId="2" xfId="0" applyFont="1" applyFill="1" applyBorder="1" applyAlignment="1">
      <alignment horizontal="left" vertical="center" shrinkToFit="1"/>
    </xf>
    <xf numFmtId="0" fontId="11" fillId="4" borderId="14" xfId="0" applyFont="1" applyFill="1" applyBorder="1" applyAlignment="1">
      <alignment horizontal="left" vertical="center" shrinkToFit="1"/>
    </xf>
    <xf numFmtId="0" fontId="11" fillId="4" borderId="9" xfId="0" applyFont="1" applyFill="1" applyBorder="1" applyAlignment="1">
      <alignment horizontal="left" vertical="center" shrinkToFit="1"/>
    </xf>
    <xf numFmtId="0" fontId="11" fillId="4" borderId="10" xfId="0" applyFont="1" applyFill="1" applyBorder="1" applyAlignment="1">
      <alignment horizontal="left" vertical="center" shrinkToFit="1"/>
    </xf>
    <xf numFmtId="0" fontId="9" fillId="4" borderId="0" xfId="0" applyFont="1" applyFill="1" applyAlignment="1">
      <alignment vertical="center"/>
    </xf>
    <xf numFmtId="0" fontId="6" fillId="4" borderId="0" xfId="0" applyFont="1" applyFill="1" applyAlignment="1">
      <alignment horizontal="left" vertical="center" indent="3"/>
    </xf>
    <xf numFmtId="0" fontId="6" fillId="4" borderId="0" xfId="0" applyFont="1" applyFill="1" applyAlignment="1">
      <alignment vertical="center"/>
    </xf>
    <xf numFmtId="0" fontId="14" fillId="4" borderId="0" xfId="0" applyFont="1" applyFill="1" applyAlignment="1">
      <alignment horizontal="left" vertical="center" indent="3"/>
    </xf>
    <xf numFmtId="0" fontId="14" fillId="4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 shrinkToFit="1"/>
    </xf>
    <xf numFmtId="0" fontId="7" fillId="5" borderId="12" xfId="0" applyFont="1" applyFill="1" applyBorder="1" applyAlignment="1">
      <alignment vertical="center" shrinkToFit="1"/>
    </xf>
    <xf numFmtId="0" fontId="29" fillId="6" borderId="47" xfId="2" applyFont="1" applyFill="1" applyBorder="1" applyProtection="1">
      <protection hidden="1"/>
    </xf>
    <xf numFmtId="0" fontId="30" fillId="7" borderId="47" xfId="2" applyFont="1" applyFill="1" applyBorder="1" applyProtection="1">
      <protection hidden="1"/>
    </xf>
    <xf numFmtId="0" fontId="30" fillId="7" borderId="0" xfId="2" applyFont="1" applyFill="1" applyProtection="1">
      <protection hidden="1"/>
    </xf>
    <xf numFmtId="0" fontId="30" fillId="7" borderId="0" xfId="2" applyFont="1" applyFill="1" applyAlignment="1" applyProtection="1">
      <alignment horizontal="center" vertical="center"/>
      <protection hidden="1"/>
    </xf>
    <xf numFmtId="0" fontId="30" fillId="7" borderId="48" xfId="2" applyFont="1" applyFill="1" applyBorder="1" applyProtection="1">
      <protection hidden="1"/>
    </xf>
    <xf numFmtId="0" fontId="29" fillId="6" borderId="48" xfId="2" applyFont="1" applyFill="1" applyBorder="1" applyProtection="1">
      <protection hidden="1"/>
    </xf>
    <xf numFmtId="0" fontId="31" fillId="7" borderId="47" xfId="2" applyFont="1" applyFill="1" applyBorder="1" applyProtection="1">
      <protection hidden="1"/>
    </xf>
    <xf numFmtId="0" fontId="32" fillId="7" borderId="0" xfId="2" applyFont="1" applyFill="1" applyProtection="1">
      <protection hidden="1"/>
    </xf>
    <xf numFmtId="0" fontId="32" fillId="7" borderId="0" xfId="2" applyFont="1" applyFill="1" applyAlignment="1" applyProtection="1">
      <alignment horizontal="center" vertical="center"/>
      <protection hidden="1"/>
    </xf>
    <xf numFmtId="0" fontId="34" fillId="7" borderId="0" xfId="2" applyFont="1" applyFill="1" applyAlignment="1" applyProtection="1">
      <alignment horizontal="left"/>
      <protection hidden="1"/>
    </xf>
    <xf numFmtId="0" fontId="32" fillId="7" borderId="0" xfId="2" applyFont="1" applyFill="1" applyAlignment="1" applyProtection="1">
      <alignment vertical="center"/>
      <protection hidden="1"/>
    </xf>
    <xf numFmtId="0" fontId="33" fillId="8" borderId="1" xfId="2" applyFont="1" applyFill="1" applyBorder="1" applyAlignment="1" applyProtection="1">
      <alignment vertical="center"/>
      <protection locked="0"/>
    </xf>
    <xf numFmtId="0" fontId="32" fillId="7" borderId="0" xfId="2" applyFont="1" applyFill="1" applyAlignment="1" applyProtection="1">
      <alignment horizontal="left" vertical="center"/>
      <protection hidden="1"/>
    </xf>
    <xf numFmtId="0" fontId="30" fillId="7" borderId="51" xfId="2" applyFont="1" applyFill="1" applyBorder="1" applyProtection="1">
      <protection hidden="1"/>
    </xf>
    <xf numFmtId="0" fontId="31" fillId="7" borderId="49" xfId="2" applyFont="1" applyFill="1" applyBorder="1" applyProtection="1">
      <protection hidden="1"/>
    </xf>
    <xf numFmtId="0" fontId="32" fillId="7" borderId="26" xfId="2" applyFont="1" applyFill="1" applyBorder="1" applyProtection="1">
      <protection hidden="1"/>
    </xf>
    <xf numFmtId="0" fontId="32" fillId="7" borderId="26" xfId="2" applyFont="1" applyFill="1" applyBorder="1" applyAlignment="1" applyProtection="1">
      <alignment horizontal="center" vertical="center"/>
      <protection hidden="1"/>
    </xf>
    <xf numFmtId="0" fontId="34" fillId="7" borderId="26" xfId="2" applyFont="1" applyFill="1" applyBorder="1" applyAlignment="1" applyProtection="1">
      <alignment horizontal="left"/>
      <protection hidden="1"/>
    </xf>
    <xf numFmtId="0" fontId="30" fillId="7" borderId="50" xfId="2" applyFont="1" applyFill="1" applyBorder="1" applyProtection="1">
      <protection hidden="1"/>
    </xf>
    <xf numFmtId="0" fontId="29" fillId="6" borderId="0" xfId="2" applyFont="1" applyFill="1" applyProtection="1">
      <protection hidden="1"/>
    </xf>
    <xf numFmtId="0" fontId="29" fillId="6" borderId="0" xfId="2" applyFont="1" applyFill="1" applyAlignment="1" applyProtection="1">
      <alignment horizontal="center" vertical="center"/>
      <protection hidden="1"/>
    </xf>
    <xf numFmtId="0" fontId="29" fillId="6" borderId="0" xfId="2" applyFont="1" applyFill="1" applyAlignment="1" applyProtection="1">
      <alignment horizontal="left"/>
      <protection hidden="1"/>
    </xf>
    <xf numFmtId="0" fontId="29" fillId="6" borderId="49" xfId="2" applyFont="1" applyFill="1" applyBorder="1" applyProtection="1">
      <protection hidden="1"/>
    </xf>
    <xf numFmtId="0" fontId="29" fillId="6" borderId="26" xfId="2" applyFont="1" applyFill="1" applyBorder="1" applyProtection="1">
      <protection hidden="1"/>
    </xf>
    <xf numFmtId="0" fontId="35" fillId="6" borderId="26" xfId="1" applyFont="1" applyFill="1" applyBorder="1" applyAlignment="1" applyProtection="1">
      <protection hidden="1"/>
    </xf>
    <xf numFmtId="0" fontId="29" fillId="6" borderId="26" xfId="2" applyFont="1" applyFill="1" applyBorder="1" applyAlignment="1" applyProtection="1">
      <alignment horizontal="center" vertical="center"/>
      <protection hidden="1"/>
    </xf>
    <xf numFmtId="0" fontId="29" fillId="6" borderId="50" xfId="2" applyFont="1" applyFill="1" applyBorder="1" applyProtection="1">
      <protection hidden="1"/>
    </xf>
    <xf numFmtId="0" fontId="7" fillId="9" borderId="19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164" fontId="2" fillId="4" borderId="0" xfId="0" applyNumberFormat="1" applyFont="1" applyFill="1" applyAlignment="1">
      <alignment vertical="center"/>
    </xf>
    <xf numFmtId="165" fontId="2" fillId="4" borderId="0" xfId="0" applyNumberFormat="1" applyFont="1" applyFill="1" applyAlignment="1">
      <alignment horizontal="left" vertical="center"/>
    </xf>
    <xf numFmtId="0" fontId="11" fillId="4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49" fontId="7" fillId="4" borderId="0" xfId="0" applyNumberFormat="1" applyFont="1" applyFill="1" applyAlignment="1">
      <alignment horizontal="left" vertical="center"/>
    </xf>
    <xf numFmtId="49" fontId="11" fillId="4" borderId="0" xfId="0" applyNumberFormat="1" applyFont="1" applyFill="1" applyAlignment="1">
      <alignment vertical="center"/>
    </xf>
    <xf numFmtId="1" fontId="2" fillId="4" borderId="0" xfId="0" applyNumberFormat="1" applyFont="1" applyFill="1" applyAlignment="1">
      <alignment horizontal="left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7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 indent="7"/>
    </xf>
    <xf numFmtId="0" fontId="14" fillId="4" borderId="0" xfId="0" applyFont="1" applyFill="1" applyAlignment="1">
      <alignment horizontal="left" vertical="center"/>
    </xf>
    <xf numFmtId="0" fontId="11" fillId="0" borderId="1" xfId="0" applyFont="1" applyBorder="1" applyAlignment="1">
      <alignment horizontal="left" vertical="center" shrinkToFit="1"/>
    </xf>
    <xf numFmtId="0" fontId="11" fillId="0" borderId="2" xfId="0" applyFont="1" applyBorder="1" applyAlignment="1">
      <alignment horizontal="left" vertical="center" shrinkToFit="1"/>
    </xf>
    <xf numFmtId="0" fontId="11" fillId="0" borderId="9" xfId="0" applyFont="1" applyBorder="1" applyAlignment="1">
      <alignment horizontal="left" vertical="center" shrinkToFit="1"/>
    </xf>
    <xf numFmtId="0" fontId="0" fillId="10" borderId="0" xfId="0" applyFill="1"/>
    <xf numFmtId="0" fontId="30" fillId="10" borderId="0" xfId="2" applyFont="1" applyFill="1" applyProtection="1">
      <protection hidden="1"/>
    </xf>
    <xf numFmtId="0" fontId="31" fillId="10" borderId="0" xfId="2" applyFont="1" applyFill="1" applyProtection="1">
      <protection hidden="1"/>
    </xf>
    <xf numFmtId="0" fontId="32" fillId="10" borderId="0" xfId="2" applyFont="1" applyFill="1" applyProtection="1">
      <protection hidden="1"/>
    </xf>
    <xf numFmtId="0" fontId="32" fillId="10" borderId="0" xfId="2" applyFont="1" applyFill="1" applyAlignment="1" applyProtection="1">
      <alignment horizontal="center" vertical="center"/>
      <protection hidden="1"/>
    </xf>
    <xf numFmtId="49" fontId="34" fillId="10" borderId="0" xfId="2" quotePrefix="1" applyNumberFormat="1" applyFont="1" applyFill="1" applyAlignment="1" applyProtection="1">
      <alignment horizontal="left"/>
      <protection hidden="1"/>
    </xf>
    <xf numFmtId="0" fontId="7" fillId="9" borderId="14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7" fillId="9" borderId="13" xfId="0" applyFont="1" applyFill="1" applyBorder="1" applyAlignment="1">
      <alignment horizontal="center" vertical="center" wrapText="1"/>
    </xf>
    <xf numFmtId="0" fontId="11" fillId="4" borderId="58" xfId="0" applyFont="1" applyFill="1" applyBorder="1" applyAlignment="1">
      <alignment horizontal="left" vertical="center" shrinkToFit="1"/>
    </xf>
    <xf numFmtId="0" fontId="21" fillId="2" borderId="57" xfId="0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 indent="1" shrinkToFit="1"/>
    </xf>
    <xf numFmtId="49" fontId="9" fillId="4" borderId="1" xfId="0" applyNumberFormat="1" applyFont="1" applyFill="1" applyBorder="1" applyAlignment="1">
      <alignment horizontal="center" vertical="center" shrinkToFit="1"/>
    </xf>
    <xf numFmtId="49" fontId="9" fillId="0" borderId="1" xfId="0" applyNumberFormat="1" applyFont="1" applyBorder="1" applyAlignment="1">
      <alignment horizontal="center" vertical="center" shrinkToFit="1"/>
    </xf>
    <xf numFmtId="49" fontId="9" fillId="0" borderId="1" xfId="0" applyNumberFormat="1" applyFont="1" applyBorder="1" applyAlignment="1">
      <alignment horizontal="left" vertical="center" shrinkToFit="1"/>
    </xf>
    <xf numFmtId="0" fontId="44" fillId="0" borderId="1" xfId="0" applyFont="1" applyBorder="1" applyAlignment="1">
      <alignment horizontal="center" vertical="center" wrapText="1"/>
    </xf>
    <xf numFmtId="0" fontId="45" fillId="13" borderId="64" xfId="0" applyFont="1" applyFill="1" applyBorder="1" applyAlignment="1">
      <alignment horizontal="left" vertical="center"/>
    </xf>
    <xf numFmtId="0" fontId="45" fillId="13" borderId="65" xfId="0" applyFont="1" applyFill="1" applyBorder="1" applyAlignment="1">
      <alignment horizontal="left" vertical="center"/>
    </xf>
    <xf numFmtId="0" fontId="45" fillId="14" borderId="65" xfId="0" applyFont="1" applyFill="1" applyBorder="1" applyAlignment="1">
      <alignment horizontal="left" vertical="center" wrapText="1"/>
    </xf>
    <xf numFmtId="0" fontId="45" fillId="13" borderId="65" xfId="0" applyFont="1" applyFill="1" applyBorder="1" applyAlignment="1">
      <alignment vertical="center"/>
    </xf>
    <xf numFmtId="0" fontId="45" fillId="0" borderId="68" xfId="0" applyFont="1" applyBorder="1" applyAlignment="1">
      <alignment horizontal="left" vertical="center" wrapText="1" readingOrder="1"/>
    </xf>
    <xf numFmtId="0" fontId="45" fillId="0" borderId="68" xfId="0" applyFont="1" applyBorder="1" applyAlignment="1">
      <alignment horizontal="center" vertical="center" wrapText="1" readingOrder="1"/>
    </xf>
    <xf numFmtId="0" fontId="45" fillId="14" borderId="68" xfId="0" applyFont="1" applyFill="1" applyBorder="1" applyAlignment="1">
      <alignment horizontal="left" vertical="center" wrapText="1" readingOrder="1"/>
    </xf>
    <xf numFmtId="0" fontId="47" fillId="0" borderId="0" xfId="0" applyFont="1"/>
    <xf numFmtId="0" fontId="45" fillId="0" borderId="0" xfId="0" applyFont="1" applyAlignment="1">
      <alignment horizontal="left" vertical="center"/>
    </xf>
    <xf numFmtId="0" fontId="45" fillId="13" borderId="0" xfId="0" applyFont="1" applyFill="1" applyAlignment="1">
      <alignment horizontal="center" vertical="center"/>
    </xf>
    <xf numFmtId="0" fontId="45" fillId="14" borderId="0" xfId="0" applyFont="1" applyFill="1" applyAlignment="1">
      <alignment horizontal="left" vertical="center" wrapText="1"/>
    </xf>
    <xf numFmtId="0" fontId="45" fillId="14" borderId="0" xfId="0" applyFont="1" applyFill="1" applyAlignment="1">
      <alignment horizontal="center" vertical="center"/>
    </xf>
    <xf numFmtId="0" fontId="45" fillId="14" borderId="0" xfId="0" applyFont="1" applyFill="1" applyAlignment="1">
      <alignment horizontal="left" vertical="center"/>
    </xf>
    <xf numFmtId="0" fontId="47" fillId="13" borderId="0" xfId="0" applyFont="1" applyFill="1"/>
    <xf numFmtId="0" fontId="48" fillId="14" borderId="0" xfId="0" applyFont="1" applyFill="1" applyAlignment="1">
      <alignment horizontal="left" vertical="center" wrapText="1"/>
    </xf>
    <xf numFmtId="0" fontId="45" fillId="13" borderId="0" xfId="0" applyFont="1" applyFill="1" applyAlignment="1">
      <alignment horizontal="left" vertical="center"/>
    </xf>
    <xf numFmtId="0" fontId="51" fillId="14" borderId="0" xfId="0" applyFont="1" applyFill="1" applyAlignment="1">
      <alignment horizontal="left"/>
    </xf>
    <xf numFmtId="0" fontId="49" fillId="4" borderId="37" xfId="0" applyFont="1" applyFill="1" applyBorder="1" applyAlignment="1">
      <alignment horizontal="center" vertical="center"/>
    </xf>
    <xf numFmtId="0" fontId="49" fillId="4" borderId="69" xfId="0" applyFont="1" applyFill="1" applyBorder="1" applyAlignment="1">
      <alignment horizontal="center" vertical="center"/>
    </xf>
    <xf numFmtId="0" fontId="50" fillId="4" borderId="69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9" fillId="4" borderId="58" xfId="0" applyNumberFormat="1" applyFont="1" applyFill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0" fontId="44" fillId="0" borderId="7" xfId="0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/>
    </xf>
    <xf numFmtId="0" fontId="50" fillId="4" borderId="32" xfId="0" applyFont="1" applyFill="1" applyBorder="1" applyAlignment="1">
      <alignment horizontal="center" vertical="center"/>
    </xf>
    <xf numFmtId="49" fontId="9" fillId="4" borderId="9" xfId="0" applyNumberFormat="1" applyFont="1" applyFill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45" fillId="0" borderId="72" xfId="0" applyFont="1" applyBorder="1" applyAlignment="1">
      <alignment horizontal="center" vertical="top" wrapText="1" readingOrder="1"/>
    </xf>
    <xf numFmtId="49" fontId="9" fillId="0" borderId="10" xfId="0" applyNumberFormat="1" applyFont="1" applyBorder="1" applyAlignment="1">
      <alignment horizontal="center" vertical="center"/>
    </xf>
    <xf numFmtId="49" fontId="9" fillId="0" borderId="12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49" fontId="9" fillId="0" borderId="19" xfId="0" applyNumberFormat="1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 textRotation="255"/>
    </xf>
    <xf numFmtId="49" fontId="9" fillId="4" borderId="22" xfId="0" applyNumberFormat="1" applyFont="1" applyFill="1" applyBorder="1" applyAlignment="1">
      <alignment horizontal="center" vertical="center"/>
    </xf>
    <xf numFmtId="49" fontId="9" fillId="4" borderId="7" xfId="0" applyNumberFormat="1" applyFont="1" applyFill="1" applyBorder="1" applyAlignment="1">
      <alignment horizontal="center" vertical="center"/>
    </xf>
    <xf numFmtId="49" fontId="9" fillId="4" borderId="6" xfId="0" applyNumberFormat="1" applyFont="1" applyFill="1" applyBorder="1" applyAlignment="1">
      <alignment horizontal="center"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49" fontId="9" fillId="7" borderId="7" xfId="0" applyNumberFormat="1" applyFont="1" applyFill="1" applyBorder="1" applyAlignment="1">
      <alignment horizontal="center" vertical="center"/>
    </xf>
    <xf numFmtId="49" fontId="34" fillId="10" borderId="0" xfId="2" quotePrefix="1" applyNumberFormat="1" applyFont="1" applyFill="1" applyAlignment="1" applyProtection="1">
      <alignment horizontal="left" vertical="center"/>
      <protection locked="0"/>
    </xf>
    <xf numFmtId="0" fontId="33" fillId="8" borderId="1" xfId="2" applyFont="1" applyFill="1" applyBorder="1" applyAlignment="1" applyProtection="1">
      <alignment horizontal="left" vertical="center"/>
      <protection locked="0"/>
    </xf>
    <xf numFmtId="0" fontId="43" fillId="8" borderId="1" xfId="1" applyFont="1" applyFill="1" applyBorder="1" applyAlignment="1" applyProtection="1">
      <alignment horizontal="left" vertical="center"/>
      <protection locked="0"/>
    </xf>
    <xf numFmtId="0" fontId="33" fillId="8" borderId="5" xfId="2" quotePrefix="1" applyFont="1" applyFill="1" applyBorder="1" applyAlignment="1" applyProtection="1">
      <alignment horizontal="left" vertical="center"/>
      <protection locked="0"/>
    </xf>
    <xf numFmtId="0" fontId="33" fillId="8" borderId="15" xfId="2" applyFont="1" applyFill="1" applyBorder="1" applyAlignment="1" applyProtection="1">
      <alignment horizontal="left" vertical="center"/>
      <protection locked="0"/>
    </xf>
    <xf numFmtId="0" fontId="33" fillId="8" borderId="7" xfId="2" applyFont="1" applyFill="1" applyBorder="1" applyAlignment="1" applyProtection="1">
      <alignment horizontal="left" vertical="center"/>
      <protection locked="0"/>
    </xf>
    <xf numFmtId="0" fontId="33" fillId="8" borderId="5" xfId="2" applyFont="1" applyFill="1" applyBorder="1" applyAlignment="1" applyProtection="1">
      <alignment horizontal="left" vertical="center"/>
      <protection locked="0"/>
    </xf>
    <xf numFmtId="15" fontId="33" fillId="8" borderId="5" xfId="2" quotePrefix="1" applyNumberFormat="1" applyFont="1" applyFill="1" applyBorder="1" applyAlignment="1" applyProtection="1">
      <alignment horizontal="left" vertical="center"/>
      <protection locked="0"/>
    </xf>
    <xf numFmtId="0" fontId="24" fillId="10" borderId="0" xfId="0" applyFont="1" applyFill="1" applyAlignment="1">
      <alignment horizontal="center"/>
    </xf>
    <xf numFmtId="0" fontId="25" fillId="11" borderId="41" xfId="0" applyFont="1" applyFill="1" applyBorder="1" applyAlignment="1">
      <alignment horizontal="center" wrapText="1"/>
    </xf>
    <xf numFmtId="0" fontId="25" fillId="11" borderId="42" xfId="0" applyFont="1" applyFill="1" applyBorder="1" applyAlignment="1">
      <alignment horizontal="center" wrapText="1"/>
    </xf>
    <xf numFmtId="0" fontId="25" fillId="11" borderId="43" xfId="0" applyFont="1" applyFill="1" applyBorder="1" applyAlignment="1">
      <alignment horizontal="center" wrapText="1"/>
    </xf>
    <xf numFmtId="0" fontId="26" fillId="10" borderId="0" xfId="0" applyFont="1" applyFill="1" applyAlignment="1">
      <alignment horizontal="center"/>
    </xf>
    <xf numFmtId="0" fontId="28" fillId="4" borderId="44" xfId="2" applyFont="1" applyFill="1" applyBorder="1" applyAlignment="1" applyProtection="1">
      <alignment horizontal="center" vertical="center"/>
      <protection hidden="1"/>
    </xf>
    <xf numFmtId="0" fontId="28" fillId="4" borderId="45" xfId="2" applyFont="1" applyFill="1" applyBorder="1" applyAlignment="1" applyProtection="1">
      <alignment horizontal="center" vertical="center"/>
      <protection hidden="1"/>
    </xf>
    <xf numFmtId="0" fontId="28" fillId="4" borderId="46" xfId="2" applyFont="1" applyFill="1" applyBorder="1" applyAlignment="1" applyProtection="1">
      <alignment horizontal="center" vertical="center"/>
      <protection hidden="1"/>
    </xf>
    <xf numFmtId="0" fontId="28" fillId="4" borderId="47" xfId="2" applyFont="1" applyFill="1" applyBorder="1" applyAlignment="1" applyProtection="1">
      <alignment horizontal="center" vertical="center"/>
      <protection hidden="1"/>
    </xf>
    <xf numFmtId="0" fontId="28" fillId="4" borderId="0" xfId="2" applyFont="1" applyFill="1" applyAlignment="1" applyProtection="1">
      <alignment horizontal="center" vertical="center"/>
      <protection hidden="1"/>
    </xf>
    <xf numFmtId="0" fontId="28" fillId="4" borderId="48" xfId="2" applyFont="1" applyFill="1" applyBorder="1" applyAlignment="1" applyProtection="1">
      <alignment horizontal="center" vertical="center"/>
      <protection hidden="1"/>
    </xf>
    <xf numFmtId="0" fontId="28" fillId="4" borderId="49" xfId="2" applyFont="1" applyFill="1" applyBorder="1" applyAlignment="1" applyProtection="1">
      <alignment horizontal="center" vertical="center"/>
      <protection hidden="1"/>
    </xf>
    <xf numFmtId="0" fontId="28" fillId="4" borderId="26" xfId="2" applyFont="1" applyFill="1" applyBorder="1" applyAlignment="1" applyProtection="1">
      <alignment horizontal="center" vertical="center"/>
      <protection hidden="1"/>
    </xf>
    <xf numFmtId="0" fontId="28" fillId="4" borderId="50" xfId="2" applyFont="1" applyFill="1" applyBorder="1" applyAlignment="1" applyProtection="1">
      <alignment horizontal="center" vertical="center"/>
      <protection hidden="1"/>
    </xf>
    <xf numFmtId="0" fontId="36" fillId="6" borderId="47" xfId="2" applyFont="1" applyFill="1" applyBorder="1" applyAlignment="1" applyProtection="1">
      <alignment horizontal="center" vertical="center"/>
      <protection hidden="1"/>
    </xf>
    <xf numFmtId="0" fontId="36" fillId="6" borderId="0" xfId="2" applyFont="1" applyFill="1" applyAlignment="1" applyProtection="1">
      <alignment horizontal="center" vertical="center"/>
      <protection hidden="1"/>
    </xf>
    <xf numFmtId="0" fontId="36" fillId="6" borderId="48" xfId="2" applyFont="1" applyFill="1" applyBorder="1" applyAlignment="1" applyProtection="1">
      <alignment horizontal="center" vertical="center"/>
      <protection hidden="1"/>
    </xf>
    <xf numFmtId="49" fontId="33" fillId="8" borderId="5" xfId="2" applyNumberFormat="1" applyFont="1" applyFill="1" applyBorder="1" applyAlignment="1" applyProtection="1">
      <alignment vertical="center"/>
      <protection locked="0"/>
    </xf>
    <xf numFmtId="49" fontId="33" fillId="8" borderId="15" xfId="2" applyNumberFormat="1" applyFont="1" applyFill="1" applyBorder="1" applyAlignment="1" applyProtection="1">
      <alignment vertical="center"/>
      <protection locked="0"/>
    </xf>
    <xf numFmtId="49" fontId="33" fillId="8" borderId="7" xfId="2" applyNumberFormat="1" applyFont="1" applyFill="1" applyBorder="1" applyAlignment="1" applyProtection="1">
      <alignment vertical="center"/>
      <protection locked="0"/>
    </xf>
    <xf numFmtId="49" fontId="16" fillId="3" borderId="7" xfId="0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center" vertical="center"/>
    </xf>
    <xf numFmtId="49" fontId="16" fillId="3" borderId="12" xfId="0" applyNumberFormat="1" applyFont="1" applyFill="1" applyBorder="1" applyAlignment="1">
      <alignment horizontal="center" vertical="center"/>
    </xf>
    <xf numFmtId="0" fontId="15" fillId="9" borderId="61" xfId="0" applyFont="1" applyFill="1" applyBorder="1" applyAlignment="1">
      <alignment horizontal="center" vertical="center"/>
    </xf>
    <xf numFmtId="0" fontId="15" fillId="9" borderId="62" xfId="0" applyFont="1" applyFill="1" applyBorder="1" applyAlignment="1">
      <alignment horizontal="center" vertical="center"/>
    </xf>
    <xf numFmtId="0" fontId="15" fillId="9" borderId="57" xfId="0" applyFont="1" applyFill="1" applyBorder="1" applyAlignment="1">
      <alignment horizontal="center" vertical="center"/>
    </xf>
    <xf numFmtId="0" fontId="15" fillId="9" borderId="63" xfId="0" applyFont="1" applyFill="1" applyBorder="1" applyAlignment="1">
      <alignment horizontal="center" vertical="center"/>
    </xf>
    <xf numFmtId="0" fontId="45" fillId="15" borderId="70" xfId="0" applyFont="1" applyFill="1" applyBorder="1" applyAlignment="1">
      <alignment horizontal="center" vertical="center" wrapText="1"/>
    </xf>
    <xf numFmtId="0" fontId="46" fillId="0" borderId="71" xfId="0" applyFont="1" applyBorder="1"/>
    <xf numFmtId="0" fontId="45" fillId="15" borderId="66" xfId="0" applyFont="1" applyFill="1" applyBorder="1" applyAlignment="1">
      <alignment horizontal="center" vertical="center" wrapText="1"/>
    </xf>
    <xf numFmtId="0" fontId="46" fillId="0" borderId="67" xfId="0" applyFont="1" applyBorder="1"/>
    <xf numFmtId="0" fontId="45" fillId="14" borderId="0" xfId="0" applyFont="1" applyFill="1" applyAlignment="1">
      <alignment horizontal="left" vertical="center" wrapText="1"/>
    </xf>
    <xf numFmtId="0" fontId="46" fillId="0" borderId="0" xfId="0" applyFont="1"/>
    <xf numFmtId="0" fontId="4" fillId="4" borderId="0" xfId="0" applyFont="1" applyFill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15" fillId="9" borderId="36" xfId="0" applyFont="1" applyFill="1" applyBorder="1" applyAlignment="1">
      <alignment horizontal="center" vertical="center"/>
    </xf>
    <xf numFmtId="0" fontId="15" fillId="9" borderId="22" xfId="0" applyFont="1" applyFill="1" applyBorder="1" applyAlignment="1">
      <alignment horizontal="center" vertical="center" wrapText="1"/>
    </xf>
    <xf numFmtId="0" fontId="15" fillId="9" borderId="7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0" fontId="15" fillId="9" borderId="23" xfId="0" applyFont="1" applyFill="1" applyBorder="1" applyAlignment="1">
      <alignment horizontal="center" vertical="center" wrapText="1"/>
    </xf>
    <xf numFmtId="0" fontId="15" fillId="9" borderId="24" xfId="0" applyFont="1" applyFill="1" applyBorder="1" applyAlignment="1">
      <alignment horizontal="center" vertical="center" wrapText="1"/>
    </xf>
    <xf numFmtId="0" fontId="15" fillId="9" borderId="25" xfId="0" applyFont="1" applyFill="1" applyBorder="1" applyAlignment="1">
      <alignment horizontal="center" vertical="center" wrapText="1"/>
    </xf>
    <xf numFmtId="0" fontId="39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 vertical="center"/>
    </xf>
    <xf numFmtId="0" fontId="38" fillId="4" borderId="0" xfId="0" applyFont="1" applyFill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5" fillId="9" borderId="10" xfId="0" applyFont="1" applyFill="1" applyBorder="1" applyAlignment="1">
      <alignment horizontal="center" vertical="center" wrapText="1"/>
    </xf>
    <xf numFmtId="0" fontId="15" fillId="9" borderId="12" xfId="0" applyFont="1" applyFill="1" applyBorder="1" applyAlignment="1">
      <alignment horizontal="center" vertical="center" wrapText="1"/>
    </xf>
    <xf numFmtId="0" fontId="15" fillId="9" borderId="14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textRotation="255"/>
    </xf>
    <xf numFmtId="0" fontId="8" fillId="0" borderId="60" xfId="0" applyFont="1" applyBorder="1" applyAlignment="1">
      <alignment horizontal="center" vertical="center" textRotation="255"/>
    </xf>
    <xf numFmtId="0" fontId="8" fillId="0" borderId="21" xfId="0" applyFont="1" applyBorder="1" applyAlignment="1">
      <alignment horizontal="center" vertical="center" textRotation="255"/>
    </xf>
    <xf numFmtId="0" fontId="8" fillId="0" borderId="73" xfId="0" applyFont="1" applyBorder="1" applyAlignment="1">
      <alignment horizontal="center" vertical="center" textRotation="255"/>
    </xf>
    <xf numFmtId="0" fontId="15" fillId="9" borderId="17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 textRotation="255"/>
    </xf>
    <xf numFmtId="0" fontId="7" fillId="3" borderId="21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164" fontId="7" fillId="4" borderId="0" xfId="0" applyNumberFormat="1" applyFont="1" applyFill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7" fillId="9" borderId="22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9" borderId="10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40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left" vertical="center"/>
    </xf>
    <xf numFmtId="0" fontId="7" fillId="9" borderId="28" xfId="0" applyFont="1" applyFill="1" applyBorder="1" applyAlignment="1">
      <alignment horizontal="center" vertical="center" wrapText="1"/>
    </xf>
    <xf numFmtId="0" fontId="7" fillId="9" borderId="29" xfId="0" applyFont="1" applyFill="1" applyBorder="1" applyAlignment="1">
      <alignment horizontal="center" vertical="center" wrapText="1"/>
    </xf>
    <xf numFmtId="0" fontId="7" fillId="3" borderId="21" xfId="0" applyFont="1" applyFill="1" applyBorder="1" applyAlignment="1">
      <alignment horizontal="center" vertical="center" shrinkToFit="1"/>
    </xf>
    <xf numFmtId="0" fontId="7" fillId="3" borderId="18" xfId="0" applyFont="1" applyFill="1" applyBorder="1" applyAlignment="1">
      <alignment horizontal="center" vertical="center" shrinkToFit="1"/>
    </xf>
    <xf numFmtId="0" fontId="12" fillId="0" borderId="30" xfId="0" applyFont="1" applyBorder="1" applyAlignment="1">
      <alignment horizontal="center" vertical="center" shrinkToFit="1"/>
    </xf>
    <xf numFmtId="0" fontId="12" fillId="0" borderId="31" xfId="0" applyFont="1" applyBorder="1" applyAlignment="1">
      <alignment horizontal="center" vertical="center" shrinkToFit="1"/>
    </xf>
    <xf numFmtId="0" fontId="5" fillId="4" borderId="0" xfId="0" applyFont="1" applyFill="1" applyAlignment="1">
      <alignment horizontal="center" vertical="center"/>
    </xf>
    <xf numFmtId="0" fontId="41" fillId="4" borderId="0" xfId="0" applyFont="1" applyFill="1" applyAlignment="1">
      <alignment horizontal="center" vertical="center"/>
    </xf>
    <xf numFmtId="0" fontId="18" fillId="4" borderId="26" xfId="0" applyFont="1" applyFill="1" applyBorder="1" applyAlignment="1">
      <alignment horizontal="center" vertical="center"/>
    </xf>
    <xf numFmtId="166" fontId="17" fillId="0" borderId="34" xfId="0" applyNumberFormat="1" applyFont="1" applyBorder="1" applyAlignment="1">
      <alignment horizontal="center" vertical="center" textRotation="90"/>
    </xf>
    <xf numFmtId="166" fontId="17" fillId="0" borderId="35" xfId="0" applyNumberFormat="1" applyFont="1" applyBorder="1" applyAlignment="1">
      <alignment horizontal="center" vertical="center" textRotation="90"/>
    </xf>
    <xf numFmtId="166" fontId="17" fillId="0" borderId="36" xfId="0" applyNumberFormat="1" applyFont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shrinkToFit="1"/>
    </xf>
    <xf numFmtId="0" fontId="11" fillId="4" borderId="5" xfId="0" applyFont="1" applyFill="1" applyBorder="1" applyAlignment="1">
      <alignment horizontal="left" vertical="center" shrinkToFit="1"/>
    </xf>
    <xf numFmtId="0" fontId="11" fillId="4" borderId="15" xfId="0" applyFont="1" applyFill="1" applyBorder="1" applyAlignment="1">
      <alignment horizontal="left" vertical="center" shrinkToFit="1"/>
    </xf>
    <xf numFmtId="0" fontId="11" fillId="4" borderId="7" xfId="0" applyFont="1" applyFill="1" applyBorder="1" applyAlignment="1">
      <alignment horizontal="left" vertical="center" shrinkToFit="1"/>
    </xf>
    <xf numFmtId="0" fontId="7" fillId="5" borderId="5" xfId="0" applyFont="1" applyFill="1" applyBorder="1" applyAlignment="1">
      <alignment horizontal="center" vertical="center" shrinkToFit="1"/>
    </xf>
    <xf numFmtId="0" fontId="7" fillId="5" borderId="15" xfId="0" applyFont="1" applyFill="1" applyBorder="1" applyAlignment="1">
      <alignment horizontal="center" vertical="center" shrinkToFit="1"/>
    </xf>
    <xf numFmtId="0" fontId="7" fillId="5" borderId="7" xfId="0" applyFont="1" applyFill="1" applyBorder="1" applyAlignment="1">
      <alignment horizontal="center" vertical="center" shrinkToFit="1"/>
    </xf>
    <xf numFmtId="0" fontId="11" fillId="4" borderId="20" xfId="0" applyFont="1" applyFill="1" applyBorder="1" applyAlignment="1">
      <alignment horizontal="left" vertical="center" shrinkToFit="1"/>
    </xf>
    <xf numFmtId="0" fontId="11" fillId="4" borderId="33" xfId="0" applyFont="1" applyFill="1" applyBorder="1" applyAlignment="1">
      <alignment horizontal="left" vertical="center" shrinkToFit="1"/>
    </xf>
    <xf numFmtId="0" fontId="11" fillId="4" borderId="19" xfId="0" applyFont="1" applyFill="1" applyBorder="1" applyAlignment="1">
      <alignment horizontal="left" vertical="center" shrinkToFit="1"/>
    </xf>
    <xf numFmtId="0" fontId="11" fillId="4" borderId="4" xfId="0" applyFont="1" applyFill="1" applyBorder="1" applyAlignment="1">
      <alignment horizontal="left" vertical="center" shrinkToFit="1"/>
    </xf>
    <xf numFmtId="0" fontId="11" fillId="4" borderId="59" xfId="0" applyFont="1" applyFill="1" applyBorder="1" applyAlignment="1">
      <alignment horizontal="left" vertical="center" shrinkToFit="1"/>
    </xf>
    <xf numFmtId="0" fontId="11" fillId="4" borderId="6" xfId="0" applyFont="1" applyFill="1" applyBorder="1" applyAlignment="1">
      <alignment horizontal="left" vertical="center" shrinkToFit="1"/>
    </xf>
    <xf numFmtId="0" fontId="20" fillId="12" borderId="57" xfId="0" applyFont="1" applyFill="1" applyBorder="1" applyAlignment="1">
      <alignment horizontal="center" vertical="center" wrapText="1"/>
    </xf>
    <xf numFmtId="14" fontId="42" fillId="0" borderId="57" xfId="0" applyNumberFormat="1" applyFont="1" applyBorder="1" applyAlignment="1">
      <alignment horizontal="center" vertical="center"/>
    </xf>
    <xf numFmtId="0" fontId="42" fillId="0" borderId="57" xfId="0" applyFont="1" applyBorder="1" applyAlignment="1">
      <alignment horizontal="center" vertical="center"/>
    </xf>
    <xf numFmtId="0" fontId="41" fillId="4" borderId="26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shrinkToFit="1"/>
    </xf>
    <xf numFmtId="164" fontId="1" fillId="4" borderId="0" xfId="0" applyNumberFormat="1" applyFont="1" applyFill="1" applyAlignment="1">
      <alignment horizontal="center" vertical="center"/>
    </xf>
    <xf numFmtId="0" fontId="7" fillId="9" borderId="34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/>
    </xf>
    <xf numFmtId="0" fontId="7" fillId="9" borderId="30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0" fontId="7" fillId="9" borderId="52" xfId="0" applyFont="1" applyFill="1" applyBorder="1" applyAlignment="1">
      <alignment horizontal="center" vertical="center" wrapText="1"/>
    </xf>
    <xf numFmtId="0" fontId="7" fillId="9" borderId="53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/>
    </xf>
    <xf numFmtId="0" fontId="7" fillId="9" borderId="55" xfId="0" applyFont="1" applyFill="1" applyBorder="1" applyAlignment="1">
      <alignment horizontal="center" vertical="center"/>
    </xf>
    <xf numFmtId="0" fontId="7" fillId="9" borderId="40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7" fillId="9" borderId="27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7" fillId="9" borderId="5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257103A-D7F4-44D7-A2A9-8B463EB010C5}"/>
  </cellStyles>
  <dxfs count="1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JADWAL PER KELAS'!A1"/><Relationship Id="rId2" Type="http://schemas.openxmlformats.org/officeDocument/2006/relationships/hyperlink" Target="#'JADWAL PER GURU'!A1"/><Relationship Id="rId1" Type="http://schemas.openxmlformats.org/officeDocument/2006/relationships/hyperlink" Target="#'JADWAL UMUM'!A1"/><Relationship Id="rId4" Type="http://schemas.openxmlformats.org/officeDocument/2006/relationships/hyperlink" Target="#JURN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75175</xdr:colOff>
      <xdr:row>3</xdr:row>
      <xdr:rowOff>91440</xdr:rowOff>
    </xdr:from>
    <xdr:to>
      <xdr:col>3</xdr:col>
      <xdr:colOff>906470</xdr:colOff>
      <xdr:row>6</xdr:row>
      <xdr:rowOff>82529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B5CE45-B403-4C6A-81CA-83B2C3F5CEEE}"/>
            </a:ext>
          </a:extLst>
        </xdr:cNvPr>
        <xdr:cNvSpPr/>
      </xdr:nvSpPr>
      <xdr:spPr>
        <a:xfrm>
          <a:off x="1294375" y="1249680"/>
          <a:ext cx="1440895" cy="539729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 cap="none" spc="0">
              <a:ln w="6600">
                <a:solidFill>
                  <a:srgbClr val="FFFF00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rial Black" pitchFamily="34" charset="0"/>
            </a:rPr>
            <a:t>BUAT JADWAL</a:t>
          </a:r>
        </a:p>
      </xdr:txBody>
    </xdr:sp>
    <xdr:clientData/>
  </xdr:twoCellAnchor>
  <xdr:twoCellAnchor>
    <xdr:from>
      <xdr:col>3</xdr:col>
      <xdr:colOff>1096256</xdr:colOff>
      <xdr:row>3</xdr:row>
      <xdr:rowOff>106680</xdr:rowOff>
    </xdr:from>
    <xdr:to>
      <xdr:col>5</xdr:col>
      <xdr:colOff>441960</xdr:colOff>
      <xdr:row>6</xdr:row>
      <xdr:rowOff>97769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66D77E-3F61-467F-B9C6-056976D35BA1}"/>
            </a:ext>
          </a:extLst>
        </xdr:cNvPr>
        <xdr:cNvSpPr/>
      </xdr:nvSpPr>
      <xdr:spPr>
        <a:xfrm>
          <a:off x="2925056" y="1264920"/>
          <a:ext cx="1433584" cy="539729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 cap="none" spc="0">
              <a:ln w="6600">
                <a:solidFill>
                  <a:srgbClr val="FFFF00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rial Black" pitchFamily="34" charset="0"/>
            </a:rPr>
            <a:t>JADWAL PER GURU</a:t>
          </a:r>
        </a:p>
      </xdr:txBody>
    </xdr:sp>
    <xdr:clientData/>
  </xdr:twoCellAnchor>
  <xdr:twoCellAnchor>
    <xdr:from>
      <xdr:col>5</xdr:col>
      <xdr:colOff>639056</xdr:colOff>
      <xdr:row>3</xdr:row>
      <xdr:rowOff>99060</xdr:rowOff>
    </xdr:from>
    <xdr:to>
      <xdr:col>7</xdr:col>
      <xdr:colOff>419064</xdr:colOff>
      <xdr:row>6</xdr:row>
      <xdr:rowOff>90149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CCA598-A9BE-4916-A49C-E77D5F221334}"/>
            </a:ext>
          </a:extLst>
        </xdr:cNvPr>
        <xdr:cNvSpPr/>
      </xdr:nvSpPr>
      <xdr:spPr>
        <a:xfrm>
          <a:off x="4555736" y="1257300"/>
          <a:ext cx="1433548" cy="539729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 cap="none" spc="0">
              <a:ln w="6600">
                <a:solidFill>
                  <a:srgbClr val="FFFF00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rial Black" pitchFamily="34" charset="0"/>
            </a:rPr>
            <a:t>JADWAL PER KELAS</a:t>
          </a:r>
        </a:p>
      </xdr:txBody>
    </xdr:sp>
    <xdr:clientData/>
  </xdr:twoCellAnchor>
  <xdr:twoCellAnchor>
    <xdr:from>
      <xdr:col>7</xdr:col>
      <xdr:colOff>601980</xdr:colOff>
      <xdr:row>3</xdr:row>
      <xdr:rowOff>106680</xdr:rowOff>
    </xdr:from>
    <xdr:to>
      <xdr:col>8</xdr:col>
      <xdr:colOff>434340</xdr:colOff>
      <xdr:row>6</xdr:row>
      <xdr:rowOff>97769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684E13-B4EB-4CA7-9223-2F6BA95CC44D}"/>
            </a:ext>
          </a:extLst>
        </xdr:cNvPr>
        <xdr:cNvSpPr/>
      </xdr:nvSpPr>
      <xdr:spPr>
        <a:xfrm>
          <a:off x="6172200" y="1264920"/>
          <a:ext cx="1432560" cy="539729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 cap="none" spc="0">
              <a:ln w="6600">
                <a:solidFill>
                  <a:srgbClr val="FFFF00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rial Black" pitchFamily="34" charset="0"/>
            </a:rPr>
            <a:t>JURNAL</a:t>
          </a:r>
        </a:p>
        <a:p>
          <a:pPr algn="ctr"/>
          <a:r>
            <a:rPr lang="id-ID" sz="1400" b="1" cap="none" spc="0">
              <a:ln w="6600">
                <a:solidFill>
                  <a:srgbClr val="FFFF00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rial Black" pitchFamily="34" charset="0"/>
            </a:rPr>
            <a:t>PER KELAS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313765</xdr:colOff>
      <xdr:row>0</xdr:row>
      <xdr:rowOff>207470</xdr:rowOff>
    </xdr:from>
    <xdr:to>
      <xdr:col>2</xdr:col>
      <xdr:colOff>911678</xdr:colOff>
      <xdr:row>4</xdr:row>
      <xdr:rowOff>301327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3765" y="207470"/>
          <a:ext cx="1659270" cy="1536214"/>
        </a:xfrm>
        <a:prstGeom prst="rect">
          <a:avLst/>
        </a:prstGeom>
      </xdr:spPr>
    </xdr:pic>
    <xdr:clientData/>
  </xdr:twoCellAnchor>
  <xdr:twoCellAnchor editAs="oneCell">
    <xdr:from>
      <xdr:col>22</xdr:col>
      <xdr:colOff>95250</xdr:colOff>
      <xdr:row>10</xdr:row>
      <xdr:rowOff>40821</xdr:rowOff>
    </xdr:from>
    <xdr:to>
      <xdr:col>23</xdr:col>
      <xdr:colOff>361292</xdr:colOff>
      <xdr:row>13</xdr:row>
      <xdr:rowOff>168835</xdr:rowOff>
    </xdr:to>
    <xdr:pic>
      <xdr:nvPicPr>
        <xdr:cNvPr id="2" name="Picture 1" descr="Kumpulan Gambar/icon T - Icon Home Button Png | Full Size PNG Download |  See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399F55-B373-4B13-A997-14BB1EFBC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2143" y="3075214"/>
          <a:ext cx="891969" cy="93083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523874</xdr:colOff>
      <xdr:row>86</xdr:row>
      <xdr:rowOff>125186</xdr:rowOff>
    </xdr:from>
    <xdr:ext cx="1866900" cy="1200150"/>
    <xdr:pic>
      <xdr:nvPicPr>
        <xdr:cNvPr id="4" name="image4.png">
          <a:extLst>
            <a:ext uri="{FF2B5EF4-FFF2-40B4-BE49-F238E27FC236}">
              <a16:creationId xmlns:a16="http://schemas.microsoft.com/office/drawing/2014/main" id="{8CBEDE31-88D7-4DFB-B908-9B26A5EAA527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23874" y="20889686"/>
          <a:ext cx="1866900" cy="1200150"/>
        </a:xfrm>
        <a:prstGeom prst="rect">
          <a:avLst/>
        </a:prstGeom>
        <a:noFill/>
      </xdr:spPr>
    </xdr:pic>
    <xdr:clientData fLocksWithSheet="0"/>
  </xdr:oneCellAnchor>
  <xdr:oneCellAnchor>
    <xdr:from>
      <xdr:col>18</xdr:col>
      <xdr:colOff>318407</xdr:colOff>
      <xdr:row>85</xdr:row>
      <xdr:rowOff>51708</xdr:rowOff>
    </xdr:from>
    <xdr:ext cx="2867025" cy="2000250"/>
    <xdr:pic>
      <xdr:nvPicPr>
        <xdr:cNvPr id="5" name="image2.png">
          <a:extLst>
            <a:ext uri="{FF2B5EF4-FFF2-40B4-BE49-F238E27FC236}">
              <a16:creationId xmlns:a16="http://schemas.microsoft.com/office/drawing/2014/main" id="{B55D1614-252E-4FD9-A43E-D0A1F0716386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455478" y="20516851"/>
          <a:ext cx="2867025" cy="20002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231321</xdr:colOff>
      <xdr:row>1</xdr:row>
      <xdr:rowOff>31703</xdr:rowOff>
    </xdr:from>
    <xdr:to>
      <xdr:col>2</xdr:col>
      <xdr:colOff>408214</xdr:colOff>
      <xdr:row>4</xdr:row>
      <xdr:rowOff>107088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321" y="325617"/>
          <a:ext cx="1221922" cy="1131300"/>
        </a:xfrm>
        <a:prstGeom prst="rect">
          <a:avLst/>
        </a:prstGeom>
      </xdr:spPr>
    </xdr:pic>
    <xdr:clientData/>
  </xdr:twoCellAnchor>
  <xdr:twoCellAnchor editAs="oneCell">
    <xdr:from>
      <xdr:col>11</xdr:col>
      <xdr:colOff>174171</xdr:colOff>
      <xdr:row>13</xdr:row>
      <xdr:rowOff>228601</xdr:rowOff>
    </xdr:from>
    <xdr:to>
      <xdr:col>12</xdr:col>
      <xdr:colOff>445654</xdr:colOff>
      <xdr:row>15</xdr:row>
      <xdr:rowOff>593379</xdr:rowOff>
    </xdr:to>
    <xdr:pic>
      <xdr:nvPicPr>
        <xdr:cNvPr id="3" name="Picture 2" descr="Kumpulan Gambar/icon T - Icon Home Button Png | Full Size PNG Download |  See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B28EAB-CA72-4149-AD48-B8DB6DACA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4542" y="3537858"/>
          <a:ext cx="891969" cy="93083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346363</xdr:colOff>
      <xdr:row>1</xdr:row>
      <xdr:rowOff>23913</xdr:rowOff>
    </xdr:from>
    <xdr:to>
      <xdr:col>2</xdr:col>
      <xdr:colOff>623454</xdr:colOff>
      <xdr:row>4</xdr:row>
      <xdr:rowOff>213838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6363" y="317827"/>
          <a:ext cx="1322120" cy="1224068"/>
        </a:xfrm>
        <a:prstGeom prst="rect">
          <a:avLst/>
        </a:prstGeom>
      </xdr:spPr>
    </xdr:pic>
    <xdr:clientData/>
  </xdr:twoCellAnchor>
  <xdr:twoCellAnchor editAs="oneCell">
    <xdr:from>
      <xdr:col>11</xdr:col>
      <xdr:colOff>119742</xdr:colOff>
      <xdr:row>12</xdr:row>
      <xdr:rowOff>0</xdr:rowOff>
    </xdr:from>
    <xdr:to>
      <xdr:col>12</xdr:col>
      <xdr:colOff>391226</xdr:colOff>
      <xdr:row>13</xdr:row>
      <xdr:rowOff>615150</xdr:rowOff>
    </xdr:to>
    <xdr:pic>
      <xdr:nvPicPr>
        <xdr:cNvPr id="3" name="Picture 2" descr="Kumpulan Gambar/icon T - Icon Home Button Png | Full Size PNG Download |  See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7FA77CE-2A12-4D21-8127-AFD809797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2971" y="3211286"/>
          <a:ext cx="891969" cy="93083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346363</xdr:colOff>
      <xdr:row>1</xdr:row>
      <xdr:rowOff>23913</xdr:rowOff>
    </xdr:from>
    <xdr:to>
      <xdr:col>2</xdr:col>
      <xdr:colOff>623454</xdr:colOff>
      <xdr:row>4</xdr:row>
      <xdr:rowOff>200676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494C8-F5E5-481B-AB8F-5474814AE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6363" y="321093"/>
          <a:ext cx="1328651" cy="1218625"/>
        </a:xfrm>
        <a:prstGeom prst="rect">
          <a:avLst/>
        </a:prstGeom>
      </xdr:spPr>
    </xdr:pic>
    <xdr:clientData/>
  </xdr:twoCellAnchor>
  <xdr:twoCellAnchor editAs="oneCell">
    <xdr:from>
      <xdr:col>10</xdr:col>
      <xdr:colOff>119742</xdr:colOff>
      <xdr:row>12</xdr:row>
      <xdr:rowOff>38100</xdr:rowOff>
    </xdr:from>
    <xdr:to>
      <xdr:col>10</xdr:col>
      <xdr:colOff>1019877</xdr:colOff>
      <xdr:row>14</xdr:row>
      <xdr:rowOff>24601</xdr:rowOff>
    </xdr:to>
    <xdr:pic>
      <xdr:nvPicPr>
        <xdr:cNvPr id="3" name="Picture 2" descr="Kumpulan Gambar/icon T - Icon Home Button Png | Full Size PNG Download |  See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5AC808-4F6B-4A1E-A859-28D7904B4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33042" y="3124200"/>
          <a:ext cx="900135" cy="9199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man20jakarta.sch.id/" TargetMode="External"/><Relationship Id="rId1" Type="http://schemas.openxmlformats.org/officeDocument/2006/relationships/hyperlink" Target="mailto:man20jktofficial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104FE-47F8-4468-A8C8-95968386AB21}">
  <sheetPr codeName="Sheet1"/>
  <dimension ref="A1:K52"/>
  <sheetViews>
    <sheetView zoomScale="70" zoomScaleNormal="70" workbookViewId="0"/>
  </sheetViews>
  <sheetFormatPr defaultColWidth="0" defaultRowHeight="14.4" zeroHeight="1" x14ac:dyDescent="0.3"/>
  <cols>
    <col min="1" max="3" width="8.88671875" customWidth="1"/>
    <col min="4" max="4" width="27.6640625" customWidth="1"/>
    <col min="5" max="5" width="2.6640625" customWidth="1"/>
    <col min="6" max="6" width="15.33203125" customWidth="1"/>
    <col min="7" max="7" width="8.88671875" customWidth="1"/>
    <col min="8" max="8" width="23.33203125" customWidth="1"/>
    <col min="9" max="11" width="8.88671875" customWidth="1"/>
    <col min="12" max="16384" width="8.88671875" hidden="1"/>
  </cols>
  <sheetData>
    <row r="1" spans="1:11" ht="16.2" thickBot="1" x14ac:dyDescent="0.35">
      <c r="A1" s="86"/>
      <c r="B1" s="158"/>
      <c r="C1" s="158"/>
      <c r="D1" s="158"/>
      <c r="E1" s="158"/>
      <c r="F1" s="158"/>
      <c r="G1" s="158"/>
      <c r="H1" s="158"/>
      <c r="I1" s="158"/>
      <c r="J1" s="158"/>
      <c r="K1" s="86"/>
    </row>
    <row r="2" spans="1:11" ht="57.6" customHeight="1" thickBot="1" x14ac:dyDescent="0.5">
      <c r="A2" s="86"/>
      <c r="B2" s="159" t="str">
        <f>"APLIKASI JADWAL PELAJARAN
TAHUN PELAJARAN "&amp;F45&amp;""</f>
        <v>APLIKASI JADWAL PELAJARAN
TAHUN PELAJARAN 2026 - 2027</v>
      </c>
      <c r="C2" s="160"/>
      <c r="D2" s="160"/>
      <c r="E2" s="160"/>
      <c r="F2" s="160"/>
      <c r="G2" s="160"/>
      <c r="H2" s="160"/>
      <c r="I2" s="160"/>
      <c r="J2" s="161"/>
      <c r="K2" s="86"/>
    </row>
    <row r="3" spans="1:11" ht="17.399999999999999" customHeight="1" thickBot="1" x14ac:dyDescent="0.35">
      <c r="A3" s="86"/>
      <c r="B3" s="162"/>
      <c r="C3" s="162"/>
      <c r="D3" s="162"/>
      <c r="E3" s="162"/>
      <c r="F3" s="162"/>
      <c r="G3" s="162"/>
      <c r="H3" s="162"/>
      <c r="I3" s="162"/>
      <c r="J3" s="162"/>
      <c r="K3" s="86"/>
    </row>
    <row r="4" spans="1:11" x14ac:dyDescent="0.3">
      <c r="A4" s="86"/>
      <c r="B4" s="163"/>
      <c r="C4" s="164"/>
      <c r="D4" s="164"/>
      <c r="E4" s="164"/>
      <c r="F4" s="164"/>
      <c r="G4" s="164"/>
      <c r="H4" s="164"/>
      <c r="I4" s="164"/>
      <c r="J4" s="165"/>
      <c r="K4" s="86"/>
    </row>
    <row r="5" spans="1:11" x14ac:dyDescent="0.3">
      <c r="A5" s="86"/>
      <c r="B5" s="166"/>
      <c r="C5" s="167"/>
      <c r="D5" s="167"/>
      <c r="E5" s="167"/>
      <c r="F5" s="167"/>
      <c r="G5" s="167"/>
      <c r="H5" s="167"/>
      <c r="I5" s="167"/>
      <c r="J5" s="168"/>
      <c r="K5" s="86"/>
    </row>
    <row r="6" spans="1:11" x14ac:dyDescent="0.3">
      <c r="A6" s="86"/>
      <c r="B6" s="166"/>
      <c r="C6" s="167"/>
      <c r="D6" s="167"/>
      <c r="E6" s="167"/>
      <c r="F6" s="167"/>
      <c r="G6" s="167"/>
      <c r="H6" s="167"/>
      <c r="I6" s="167"/>
      <c r="J6" s="168"/>
      <c r="K6" s="86"/>
    </row>
    <row r="7" spans="1:11" ht="15" thickBot="1" x14ac:dyDescent="0.35">
      <c r="A7" s="86"/>
      <c r="B7" s="169"/>
      <c r="C7" s="170"/>
      <c r="D7" s="170"/>
      <c r="E7" s="170"/>
      <c r="F7" s="170"/>
      <c r="G7" s="170"/>
      <c r="H7" s="170"/>
      <c r="I7" s="170"/>
      <c r="J7" s="171"/>
      <c r="K7" s="86"/>
    </row>
    <row r="8" spans="1:11" x14ac:dyDescent="0.3">
      <c r="A8" s="86"/>
      <c r="B8" s="172" t="s">
        <v>66</v>
      </c>
      <c r="C8" s="173"/>
      <c r="D8" s="173"/>
      <c r="E8" s="173"/>
      <c r="F8" s="173"/>
      <c r="G8" s="173"/>
      <c r="H8" s="173"/>
      <c r="I8" s="173"/>
      <c r="J8" s="174"/>
      <c r="K8" s="86"/>
    </row>
    <row r="9" spans="1:11" x14ac:dyDescent="0.3">
      <c r="A9" s="86"/>
      <c r="B9" s="172"/>
      <c r="C9" s="173"/>
      <c r="D9" s="173"/>
      <c r="E9" s="173"/>
      <c r="F9" s="173"/>
      <c r="G9" s="173"/>
      <c r="H9" s="173"/>
      <c r="I9" s="173"/>
      <c r="J9" s="174"/>
      <c r="K9" s="86"/>
    </row>
    <row r="10" spans="1:11" x14ac:dyDescent="0.3">
      <c r="A10" s="86"/>
      <c r="B10" s="172"/>
      <c r="C10" s="173"/>
      <c r="D10" s="173"/>
      <c r="E10" s="173"/>
      <c r="F10" s="173"/>
      <c r="G10" s="173"/>
      <c r="H10" s="173"/>
      <c r="I10" s="173"/>
      <c r="J10" s="174"/>
      <c r="K10" s="86"/>
    </row>
    <row r="11" spans="1:11" x14ac:dyDescent="0.3">
      <c r="A11" s="86"/>
      <c r="B11" s="172"/>
      <c r="C11" s="173"/>
      <c r="D11" s="173"/>
      <c r="E11" s="173"/>
      <c r="F11" s="173"/>
      <c r="G11" s="173"/>
      <c r="H11" s="173"/>
      <c r="I11" s="173"/>
      <c r="J11" s="174"/>
      <c r="K11" s="86"/>
    </row>
    <row r="12" spans="1:11" x14ac:dyDescent="0.3">
      <c r="A12" s="86"/>
      <c r="B12" s="37"/>
      <c r="C12" s="38"/>
      <c r="D12" s="39"/>
      <c r="E12" s="40"/>
      <c r="F12" s="39"/>
      <c r="G12" s="39"/>
      <c r="H12" s="39"/>
      <c r="I12" s="41"/>
      <c r="J12" s="42"/>
      <c r="K12" s="86"/>
    </row>
    <row r="13" spans="1:11" ht="15.6" x14ac:dyDescent="0.3">
      <c r="A13" s="86"/>
      <c r="B13" s="37"/>
      <c r="C13" s="43"/>
      <c r="D13" s="44" t="s">
        <v>95</v>
      </c>
      <c r="E13" s="45" t="s">
        <v>67</v>
      </c>
      <c r="F13" s="151" t="s">
        <v>89</v>
      </c>
      <c r="G13" s="151"/>
      <c r="H13" s="151"/>
      <c r="I13" s="41"/>
      <c r="J13" s="42"/>
      <c r="K13" s="86"/>
    </row>
    <row r="14" spans="1:11" ht="15.6" x14ac:dyDescent="0.3">
      <c r="A14" s="86"/>
      <c r="B14" s="37"/>
      <c r="C14" s="43"/>
      <c r="D14" s="44"/>
      <c r="E14" s="45"/>
      <c r="F14" s="46"/>
      <c r="G14" s="46"/>
      <c r="H14" s="46"/>
      <c r="I14" s="41"/>
      <c r="J14" s="42"/>
      <c r="K14" s="86"/>
    </row>
    <row r="15" spans="1:11" ht="15.6" x14ac:dyDescent="0.3">
      <c r="A15" s="86"/>
      <c r="B15" s="37"/>
      <c r="C15" s="43"/>
      <c r="D15" s="44" t="s">
        <v>68</v>
      </c>
      <c r="E15" s="45" t="s">
        <v>67</v>
      </c>
      <c r="F15" s="151" t="s">
        <v>90</v>
      </c>
      <c r="G15" s="151"/>
      <c r="H15" s="151"/>
      <c r="I15" s="41"/>
      <c r="J15" s="42"/>
      <c r="K15" s="86"/>
    </row>
    <row r="16" spans="1:11" ht="15.6" x14ac:dyDescent="0.3">
      <c r="A16" s="86"/>
      <c r="B16" s="37"/>
      <c r="C16" s="43"/>
      <c r="D16" s="44"/>
      <c r="E16" s="45"/>
      <c r="F16" s="46"/>
      <c r="G16" s="46"/>
      <c r="H16" s="46"/>
      <c r="I16" s="41"/>
      <c r="J16" s="42"/>
      <c r="K16" s="86"/>
    </row>
    <row r="17" spans="1:11" ht="15.6" x14ac:dyDescent="0.3">
      <c r="A17" s="86"/>
      <c r="B17" s="37"/>
      <c r="C17" s="43"/>
      <c r="D17" s="44" t="s">
        <v>69</v>
      </c>
      <c r="E17" s="45" t="s">
        <v>67</v>
      </c>
      <c r="F17" s="151" t="s">
        <v>91</v>
      </c>
      <c r="G17" s="151"/>
      <c r="H17" s="151"/>
      <c r="I17" s="41"/>
      <c r="J17" s="42"/>
      <c r="K17" s="86"/>
    </row>
    <row r="18" spans="1:11" ht="15.6" x14ac:dyDescent="0.3">
      <c r="A18" s="86"/>
      <c r="B18" s="37"/>
      <c r="C18" s="43"/>
      <c r="D18" s="44"/>
      <c r="E18" s="45"/>
      <c r="F18" s="46"/>
      <c r="G18" s="46"/>
      <c r="H18" s="46"/>
      <c r="I18" s="41"/>
      <c r="J18" s="42"/>
      <c r="K18" s="86"/>
    </row>
    <row r="19" spans="1:11" ht="15.6" x14ac:dyDescent="0.3">
      <c r="A19" s="86"/>
      <c r="B19" s="37"/>
      <c r="C19" s="43"/>
      <c r="D19" s="44" t="s">
        <v>70</v>
      </c>
      <c r="E19" s="45" t="s">
        <v>67</v>
      </c>
      <c r="F19" s="175" t="s">
        <v>92</v>
      </c>
      <c r="G19" s="176"/>
      <c r="H19" s="177"/>
      <c r="I19" s="41"/>
      <c r="J19" s="42"/>
      <c r="K19" s="86"/>
    </row>
    <row r="20" spans="1:11" ht="15.6" x14ac:dyDescent="0.3">
      <c r="A20" s="86"/>
      <c r="B20" s="37"/>
      <c r="C20" s="43"/>
      <c r="D20" s="44"/>
      <c r="E20" s="45"/>
      <c r="F20" s="46"/>
      <c r="G20" s="46"/>
      <c r="H20" s="46"/>
      <c r="I20" s="41"/>
      <c r="J20" s="42"/>
      <c r="K20" s="86"/>
    </row>
    <row r="21" spans="1:11" ht="15.6" x14ac:dyDescent="0.3">
      <c r="A21" s="86"/>
      <c r="B21" s="37"/>
      <c r="C21" s="43"/>
      <c r="D21" s="47" t="s">
        <v>71</v>
      </c>
      <c r="E21" s="45" t="s">
        <v>67</v>
      </c>
      <c r="F21" s="156" t="s">
        <v>93</v>
      </c>
      <c r="G21" s="154"/>
      <c r="H21" s="155"/>
      <c r="I21" s="41"/>
      <c r="J21" s="42"/>
      <c r="K21" s="86"/>
    </row>
    <row r="22" spans="1:11" ht="15.6" x14ac:dyDescent="0.3">
      <c r="A22" s="86"/>
      <c r="B22" s="37"/>
      <c r="C22" s="43"/>
      <c r="D22" s="44"/>
      <c r="E22" s="45"/>
      <c r="F22" s="46"/>
      <c r="G22" s="46"/>
      <c r="H22" s="46"/>
      <c r="I22" s="41"/>
      <c r="J22" s="42"/>
      <c r="K22" s="86"/>
    </row>
    <row r="23" spans="1:11" ht="15.6" x14ac:dyDescent="0.3">
      <c r="A23" s="86"/>
      <c r="B23" s="37"/>
      <c r="C23" s="43"/>
      <c r="D23" s="47" t="s">
        <v>94</v>
      </c>
      <c r="E23" s="45" t="s">
        <v>67</v>
      </c>
      <c r="F23" s="156" t="s">
        <v>96</v>
      </c>
      <c r="G23" s="154"/>
      <c r="H23" s="155"/>
      <c r="I23" s="41"/>
      <c r="J23" s="42"/>
      <c r="K23" s="86"/>
    </row>
    <row r="24" spans="1:11" ht="15.6" x14ac:dyDescent="0.3">
      <c r="A24" s="86"/>
      <c r="B24" s="37"/>
      <c r="C24" s="43"/>
      <c r="D24" s="44"/>
      <c r="E24" s="45"/>
      <c r="F24" s="46"/>
      <c r="G24" s="46"/>
      <c r="H24" s="46"/>
      <c r="I24" s="41"/>
      <c r="J24" s="42"/>
      <c r="K24" s="86"/>
    </row>
    <row r="25" spans="1:11" ht="15.6" x14ac:dyDescent="0.3">
      <c r="A25" s="86"/>
      <c r="B25" s="37"/>
      <c r="C25" s="43"/>
      <c r="D25" s="47" t="s">
        <v>72</v>
      </c>
      <c r="E25" s="45" t="s">
        <v>67</v>
      </c>
      <c r="F25" s="156" t="s">
        <v>97</v>
      </c>
      <c r="G25" s="154"/>
      <c r="H25" s="155"/>
      <c r="I25" s="41"/>
      <c r="J25" s="42"/>
      <c r="K25" s="86"/>
    </row>
    <row r="26" spans="1:11" ht="15.6" x14ac:dyDescent="0.3">
      <c r="A26" s="86"/>
      <c r="B26" s="37"/>
      <c r="C26" s="43"/>
      <c r="D26" s="44"/>
      <c r="E26" s="45"/>
      <c r="F26" s="46"/>
      <c r="G26" s="46"/>
      <c r="H26" s="46"/>
      <c r="I26" s="41"/>
      <c r="J26" s="42"/>
      <c r="K26" s="86"/>
    </row>
    <row r="27" spans="1:11" ht="15.6" x14ac:dyDescent="0.3">
      <c r="A27" s="86"/>
      <c r="B27" s="37"/>
      <c r="C27" s="43"/>
      <c r="D27" s="47" t="s">
        <v>73</v>
      </c>
      <c r="E27" s="45" t="s">
        <v>67</v>
      </c>
      <c r="F27" s="48" t="s">
        <v>98</v>
      </c>
      <c r="G27" s="151" t="s">
        <v>99</v>
      </c>
      <c r="H27" s="151"/>
      <c r="I27" s="41"/>
      <c r="J27" s="42"/>
      <c r="K27" s="86"/>
    </row>
    <row r="28" spans="1:11" ht="15.6" x14ac:dyDescent="0.3">
      <c r="A28" s="86"/>
      <c r="B28" s="37"/>
      <c r="C28" s="43"/>
      <c r="D28" s="44"/>
      <c r="E28" s="45"/>
      <c r="F28" s="46"/>
      <c r="G28" s="46"/>
      <c r="H28" s="46"/>
      <c r="I28" s="41"/>
      <c r="J28" s="42"/>
      <c r="K28" s="86"/>
    </row>
    <row r="29" spans="1:11" ht="15.6" x14ac:dyDescent="0.3">
      <c r="A29" s="86"/>
      <c r="B29" s="37"/>
      <c r="C29" s="43"/>
      <c r="D29" s="47" t="s">
        <v>74</v>
      </c>
      <c r="E29" s="45" t="s">
        <v>67</v>
      </c>
      <c r="F29" s="151" t="s">
        <v>100</v>
      </c>
      <c r="G29" s="151"/>
      <c r="H29" s="151"/>
      <c r="I29" s="41"/>
      <c r="J29" s="42"/>
      <c r="K29" s="86"/>
    </row>
    <row r="30" spans="1:11" ht="15.6" x14ac:dyDescent="0.3">
      <c r="A30" s="86"/>
      <c r="B30" s="37"/>
      <c r="C30" s="43"/>
      <c r="D30" s="44"/>
      <c r="E30" s="45"/>
      <c r="F30" s="46"/>
      <c r="G30" s="46"/>
      <c r="H30" s="46"/>
      <c r="I30" s="41"/>
      <c r="J30" s="42"/>
      <c r="K30" s="86"/>
    </row>
    <row r="31" spans="1:11" ht="15.6" x14ac:dyDescent="0.3">
      <c r="A31" s="86"/>
      <c r="B31" s="37"/>
      <c r="C31" s="43"/>
      <c r="D31" s="47" t="s">
        <v>75</v>
      </c>
      <c r="E31" s="45" t="s">
        <v>67</v>
      </c>
      <c r="F31" s="152" t="s">
        <v>101</v>
      </c>
      <c r="G31" s="151"/>
      <c r="H31" s="151"/>
      <c r="I31" s="41"/>
      <c r="J31" s="42"/>
      <c r="K31" s="86"/>
    </row>
    <row r="32" spans="1:11" ht="15.6" x14ac:dyDescent="0.3">
      <c r="A32" s="86"/>
      <c r="B32" s="37"/>
      <c r="C32" s="43"/>
      <c r="D32" s="44"/>
      <c r="E32" s="45"/>
      <c r="F32" s="46"/>
      <c r="G32" s="46"/>
      <c r="H32" s="46"/>
      <c r="I32" s="41"/>
      <c r="J32" s="42"/>
      <c r="K32" s="86"/>
    </row>
    <row r="33" spans="1:11" ht="15.6" x14ac:dyDescent="0.3">
      <c r="A33" s="86"/>
      <c r="B33" s="37"/>
      <c r="C33" s="43"/>
      <c r="D33" s="47" t="s">
        <v>76</v>
      </c>
      <c r="E33" s="45" t="s">
        <v>67</v>
      </c>
      <c r="F33" s="152" t="s">
        <v>102</v>
      </c>
      <c r="G33" s="151"/>
      <c r="H33" s="151"/>
      <c r="I33" s="41"/>
      <c r="J33" s="42"/>
      <c r="K33" s="86"/>
    </row>
    <row r="34" spans="1:11" ht="15.6" x14ac:dyDescent="0.3">
      <c r="A34" s="86"/>
      <c r="B34" s="37"/>
      <c r="C34" s="43"/>
      <c r="D34" s="44"/>
      <c r="E34" s="45"/>
      <c r="F34" s="46"/>
      <c r="G34" s="46"/>
      <c r="H34" s="46"/>
      <c r="I34" s="41"/>
      <c r="J34" s="42"/>
      <c r="K34" s="86"/>
    </row>
    <row r="35" spans="1:11" ht="15.6" x14ac:dyDescent="0.3">
      <c r="A35" s="86"/>
      <c r="B35" s="37"/>
      <c r="C35" s="43"/>
      <c r="D35" s="49" t="s">
        <v>26</v>
      </c>
      <c r="E35" s="45" t="s">
        <v>67</v>
      </c>
      <c r="F35" s="153" t="s">
        <v>103</v>
      </c>
      <c r="G35" s="154"/>
      <c r="H35" s="155"/>
      <c r="I35" s="41"/>
      <c r="J35" s="42"/>
      <c r="K35" s="86"/>
    </row>
    <row r="36" spans="1:11" ht="15.6" x14ac:dyDescent="0.3">
      <c r="A36" s="86"/>
      <c r="B36" s="37"/>
      <c r="C36" s="43"/>
      <c r="D36" s="44"/>
      <c r="E36" s="45"/>
      <c r="F36" s="46"/>
      <c r="G36" s="46"/>
      <c r="H36" s="46"/>
      <c r="I36" s="41"/>
      <c r="J36" s="42"/>
      <c r="K36" s="86"/>
    </row>
    <row r="37" spans="1:11" ht="15.6" x14ac:dyDescent="0.3">
      <c r="A37" s="86"/>
      <c r="B37" s="37"/>
      <c r="C37" s="43"/>
      <c r="D37" s="44" t="s">
        <v>77</v>
      </c>
      <c r="E37" s="45" t="s">
        <v>67</v>
      </c>
      <c r="F37" s="153" t="s">
        <v>104</v>
      </c>
      <c r="G37" s="154"/>
      <c r="H37" s="155"/>
      <c r="I37" s="41"/>
      <c r="J37" s="42"/>
      <c r="K37" s="86"/>
    </row>
    <row r="38" spans="1:11" ht="15.6" x14ac:dyDescent="0.3">
      <c r="A38" s="86"/>
      <c r="B38" s="37"/>
      <c r="C38" s="43"/>
      <c r="D38" s="44"/>
      <c r="E38" s="45"/>
      <c r="F38" s="46"/>
      <c r="G38" s="46"/>
      <c r="H38" s="46"/>
      <c r="I38" s="41"/>
      <c r="J38" s="42"/>
      <c r="K38" s="86"/>
    </row>
    <row r="39" spans="1:11" ht="15.6" x14ac:dyDescent="0.3">
      <c r="A39" s="86"/>
      <c r="B39" s="37"/>
      <c r="C39" s="43"/>
      <c r="D39" s="44" t="s">
        <v>78</v>
      </c>
      <c r="E39" s="45" t="s">
        <v>67</v>
      </c>
      <c r="F39" s="156" t="s">
        <v>105</v>
      </c>
      <c r="G39" s="154"/>
      <c r="H39" s="155"/>
      <c r="I39" s="41"/>
      <c r="J39" s="42"/>
      <c r="K39" s="86"/>
    </row>
    <row r="40" spans="1:11" ht="15.6" x14ac:dyDescent="0.3">
      <c r="A40" s="86"/>
      <c r="B40" s="37"/>
      <c r="C40" s="43"/>
      <c r="D40" s="44"/>
      <c r="E40" s="45"/>
      <c r="F40" s="46"/>
      <c r="G40" s="46"/>
      <c r="H40" s="46"/>
      <c r="I40" s="41"/>
      <c r="J40" s="42"/>
      <c r="K40" s="86"/>
    </row>
    <row r="41" spans="1:11" ht="15.6" x14ac:dyDescent="0.3">
      <c r="A41" s="86"/>
      <c r="B41" s="37"/>
      <c r="C41" s="43"/>
      <c r="D41" s="44" t="s">
        <v>77</v>
      </c>
      <c r="E41" s="45" t="s">
        <v>67</v>
      </c>
      <c r="F41" s="153" t="s">
        <v>106</v>
      </c>
      <c r="G41" s="154"/>
      <c r="H41" s="155"/>
      <c r="I41" s="50"/>
      <c r="J41" s="42"/>
      <c r="K41" s="86"/>
    </row>
    <row r="42" spans="1:11" ht="15.6" x14ac:dyDescent="0.3">
      <c r="A42" s="86"/>
      <c r="B42" s="37"/>
      <c r="C42" s="43"/>
      <c r="D42" s="44"/>
      <c r="E42" s="45"/>
      <c r="F42" s="46"/>
      <c r="G42" s="46"/>
      <c r="H42" s="46"/>
      <c r="I42" s="41"/>
      <c r="J42" s="42"/>
      <c r="K42" s="86"/>
    </row>
    <row r="43" spans="1:11" ht="15.6" x14ac:dyDescent="0.3">
      <c r="A43" s="86"/>
      <c r="B43" s="37"/>
      <c r="C43" s="43"/>
      <c r="D43" s="44" t="s">
        <v>79</v>
      </c>
      <c r="E43" s="45" t="s">
        <v>67</v>
      </c>
      <c r="F43" s="156" t="s">
        <v>80</v>
      </c>
      <c r="G43" s="154"/>
      <c r="H43" s="155"/>
      <c r="I43" s="41"/>
      <c r="J43" s="42"/>
      <c r="K43" s="86"/>
    </row>
    <row r="44" spans="1:11" ht="15.6" x14ac:dyDescent="0.3">
      <c r="A44" s="86"/>
      <c r="B44" s="37"/>
      <c r="C44" s="43"/>
      <c r="D44" s="44"/>
      <c r="E44" s="45"/>
      <c r="F44" s="46"/>
      <c r="G44" s="46"/>
      <c r="H44" s="46"/>
      <c r="I44" s="41"/>
      <c r="J44" s="42"/>
      <c r="K44" s="86"/>
    </row>
    <row r="45" spans="1:11" ht="15.6" x14ac:dyDescent="0.3">
      <c r="A45" s="86"/>
      <c r="B45" s="37"/>
      <c r="C45" s="43"/>
      <c r="D45" s="44" t="s">
        <v>81</v>
      </c>
      <c r="E45" s="45" t="s">
        <v>67</v>
      </c>
      <c r="F45" s="156" t="s">
        <v>107</v>
      </c>
      <c r="G45" s="154"/>
      <c r="H45" s="155"/>
      <c r="I45" s="50"/>
      <c r="J45" s="42"/>
      <c r="K45" s="86"/>
    </row>
    <row r="46" spans="1:11" ht="15.6" x14ac:dyDescent="0.3">
      <c r="A46" s="86"/>
      <c r="B46" s="37"/>
      <c r="C46" s="43"/>
      <c r="D46" s="44"/>
      <c r="E46" s="45"/>
      <c r="F46" s="46"/>
      <c r="G46" s="46"/>
      <c r="H46" s="46"/>
      <c r="I46" s="41"/>
      <c r="J46" s="42"/>
      <c r="K46" s="86"/>
    </row>
    <row r="47" spans="1:11" ht="15.6" x14ac:dyDescent="0.3">
      <c r="A47" s="86"/>
      <c r="B47" s="37"/>
      <c r="C47" s="43"/>
      <c r="D47" s="44" t="s">
        <v>82</v>
      </c>
      <c r="E47" s="45" t="s">
        <v>67</v>
      </c>
      <c r="F47" s="157" t="s">
        <v>108</v>
      </c>
      <c r="G47" s="154"/>
      <c r="H47" s="155"/>
      <c r="I47" s="41"/>
      <c r="J47" s="42"/>
      <c r="K47" s="86"/>
    </row>
    <row r="48" spans="1:11" ht="16.2" thickBot="1" x14ac:dyDescent="0.35">
      <c r="A48" s="86"/>
      <c r="B48" s="37"/>
      <c r="C48" s="51"/>
      <c r="D48" s="52"/>
      <c r="E48" s="53"/>
      <c r="F48" s="54"/>
      <c r="G48" s="54"/>
      <c r="H48" s="54"/>
      <c r="I48" s="55"/>
      <c r="J48" s="42"/>
      <c r="K48" s="86"/>
    </row>
    <row r="49" spans="1:11" x14ac:dyDescent="0.3">
      <c r="A49" s="86"/>
      <c r="B49" s="37"/>
      <c r="C49" s="56"/>
      <c r="D49" s="56"/>
      <c r="E49" s="57"/>
      <c r="F49" s="58"/>
      <c r="G49" s="58"/>
      <c r="H49" s="58"/>
      <c r="I49" s="56"/>
      <c r="J49" s="42"/>
      <c r="K49" s="86"/>
    </row>
    <row r="50" spans="1:11" ht="15.6" thickBot="1" x14ac:dyDescent="0.4">
      <c r="A50" s="86"/>
      <c r="B50" s="59"/>
      <c r="C50" s="60"/>
      <c r="D50" s="61"/>
      <c r="E50" s="62"/>
      <c r="F50" s="60"/>
      <c r="G50" s="60" t="s">
        <v>83</v>
      </c>
      <c r="H50" s="60"/>
      <c r="I50" s="60"/>
      <c r="J50" s="63"/>
      <c r="K50" s="86"/>
    </row>
    <row r="51" spans="1:11" ht="15.6" x14ac:dyDescent="0.3">
      <c r="A51" s="86"/>
      <c r="B51" s="87"/>
      <c r="C51" s="88"/>
      <c r="D51" s="89"/>
      <c r="E51" s="90"/>
      <c r="F51" s="150"/>
      <c r="G51" s="150"/>
      <c r="H51" s="150"/>
      <c r="I51" s="87"/>
      <c r="J51" s="87"/>
      <c r="K51" s="86"/>
    </row>
    <row r="52" spans="1:11" ht="15.6" x14ac:dyDescent="0.3">
      <c r="A52" s="86"/>
      <c r="B52" s="87"/>
      <c r="C52" s="88"/>
      <c r="D52" s="89"/>
      <c r="E52" s="90"/>
      <c r="F52" s="91"/>
      <c r="G52" s="91"/>
      <c r="H52" s="91"/>
      <c r="I52" s="87"/>
      <c r="J52" s="87"/>
      <c r="K52" s="86"/>
    </row>
  </sheetData>
  <protectedRanges>
    <protectedRange sqref="F28:H28 F36:H36 F20:H20 F32:H32 F52:H52 F14:H14 F26:H26 F38:H38 F40:H40 F42:H42 F18:H18 F16:H16 F22:H22 F24:H24 F30:H30 F34:H34 F44:H44 F46:H46 F48:H48" name="Range1"/>
    <protectedRange sqref="F51:H51" name="Range1_2"/>
  </protectedRanges>
  <mergeCells count="24">
    <mergeCell ref="F25:H25"/>
    <mergeCell ref="B1:J1"/>
    <mergeCell ref="B2:J2"/>
    <mergeCell ref="B3:J3"/>
    <mergeCell ref="B4:J7"/>
    <mergeCell ref="B8:J11"/>
    <mergeCell ref="F13:H13"/>
    <mergeCell ref="F15:H15"/>
    <mergeCell ref="F17:H17"/>
    <mergeCell ref="F19:H19"/>
    <mergeCell ref="F21:H21"/>
    <mergeCell ref="F23:H23"/>
    <mergeCell ref="F51:H51"/>
    <mergeCell ref="G27:H27"/>
    <mergeCell ref="F29:H29"/>
    <mergeCell ref="F31:H31"/>
    <mergeCell ref="F33:H33"/>
    <mergeCell ref="F35:H35"/>
    <mergeCell ref="F37:H37"/>
    <mergeCell ref="F39:H39"/>
    <mergeCell ref="F41:H41"/>
    <mergeCell ref="F43:H43"/>
    <mergeCell ref="F45:H45"/>
    <mergeCell ref="F47:H47"/>
  </mergeCells>
  <dataValidations count="1">
    <dataValidation type="list" allowBlank="1" showInputMessage="1" showErrorMessage="1" sqref="F27" xr:uid="{F751ACC5-8FFB-418E-B8D1-6AEB5BA5E841}">
      <formula1>"Kabupaten, Kota"</formula1>
    </dataValidation>
  </dataValidations>
  <hyperlinks>
    <hyperlink ref="F31" r:id="rId1" xr:uid="{8BD3A181-0D7C-41F6-934C-8717766ADCE6}"/>
    <hyperlink ref="F33" r:id="rId2" xr:uid="{1E25EEF6-ABF7-445B-B47B-035827747E9B}"/>
  </hyperlinks>
  <pageMargins left="0.7" right="0.7" top="0.75" bottom="0.75" header="0.3" footer="0.3"/>
  <pageSetup paperSize="9" orientation="portrait" horizontalDpi="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95"/>
  <sheetViews>
    <sheetView tabSelected="1" view="pageBreakPreview" topLeftCell="A8" zoomScale="70" zoomScaleNormal="70" zoomScaleSheetLayoutView="70" workbookViewId="0">
      <selection activeCell="T14" sqref="T14"/>
    </sheetView>
  </sheetViews>
  <sheetFormatPr defaultColWidth="9.109375" defaultRowHeight="14.4" x14ac:dyDescent="0.3"/>
  <cols>
    <col min="1" max="1" width="8.6640625" style="1" customWidth="1"/>
    <col min="2" max="2" width="6.6640625" style="1" customWidth="1"/>
    <col min="3" max="3" width="20.6640625" style="1" customWidth="1"/>
    <col min="4" max="18" width="5.6640625" style="1" customWidth="1"/>
    <col min="19" max="19" width="9.6640625" style="1" customWidth="1"/>
    <col min="20" max="20" width="37.6640625" style="1" customWidth="1"/>
    <col min="21" max="21" width="9.6640625" style="1" customWidth="1"/>
    <col min="22" max="22" width="30.5546875" style="1" bestFit="1" customWidth="1"/>
    <col min="23" max="16384" width="9.109375" style="1"/>
  </cols>
  <sheetData>
    <row r="1" spans="1:24" ht="25.8" x14ac:dyDescent="0.3">
      <c r="A1" s="191" t="str">
        <f>UPPER(HOME!F13)</f>
        <v>KEMENTERIAN AGAMA REPUBLIK INDONESIA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</row>
    <row r="2" spans="1:24" ht="25.8" x14ac:dyDescent="0.3">
      <c r="A2" s="191" t="str">
        <f>UPPER(HOME!F15)</f>
        <v>KANTOR KEMENTERIAN AGAMA KOTA JAKARTA TIMUR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</row>
    <row r="3" spans="1:24" ht="36.6" x14ac:dyDescent="0.3">
      <c r="A3" s="203" t="str">
        <f>UPPER(HOME!F17)</f>
        <v>MAN 20 JAKARTA TIMUR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</row>
    <row r="4" spans="1:24" ht="25.8" x14ac:dyDescent="0.3">
      <c r="A4" s="204" t="str">
        <f>HOME!F21&amp;" "&amp;HOME!F23&amp;" "&amp;HOME!F25&amp;""</f>
        <v>Jl. DR. KRT. Radjiman Widyadiningrat RT 08 RW 07 Jatinegara Cakung</v>
      </c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</row>
    <row r="5" spans="1:24" ht="25.8" x14ac:dyDescent="0.3">
      <c r="A5" s="205" t="str">
        <f>"E-Mail: "&amp;HOME!F31&amp;" Website: "&amp;HOME!F33&amp;""</f>
        <v>E-Mail: man20jktofficial@gmail.com Website: https://man20jakarta.sch.id/</v>
      </c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</row>
    <row r="6" spans="1:24" ht="7.2" customHeight="1" thickBot="1" x14ac:dyDescent="0.35">
      <c r="A6" s="206"/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</row>
    <row r="7" spans="1:24" ht="17.100000000000001" customHeight="1" x14ac:dyDescent="0.3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</row>
    <row r="8" spans="1:24" ht="28.8" x14ac:dyDescent="0.3">
      <c r="A8" s="207" t="str">
        <f>"JADWAL PELAJARAN SEMESTER "&amp;UPPER(HOME!F43)&amp;""</f>
        <v>JADWAL PELAJARAN SEMESTER GANJIL</v>
      </c>
      <c r="B8" s="207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</row>
    <row r="9" spans="1:24" ht="28.8" x14ac:dyDescent="0.3">
      <c r="A9" s="207" t="str">
        <f>"TAHUN AJARAN "&amp;UPPER(HOME!F45&amp;"")</f>
        <v>TAHUN AJARAN 2026 - 2027</v>
      </c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</row>
    <row r="10" spans="1:24" ht="17.100000000000001" customHeight="1" thickBot="1" x14ac:dyDescent="0.35">
      <c r="A10" s="77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</row>
    <row r="11" spans="1:24" ht="20.100000000000001" customHeight="1" thickTop="1" x14ac:dyDescent="0.3">
      <c r="A11" s="194" t="s">
        <v>0</v>
      </c>
      <c r="B11" s="181" t="s">
        <v>16</v>
      </c>
      <c r="C11" s="182"/>
      <c r="D11" s="215" t="s">
        <v>137</v>
      </c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00" t="s">
        <v>23</v>
      </c>
      <c r="T11" s="208" t="s">
        <v>24</v>
      </c>
      <c r="U11" s="197" t="s">
        <v>34</v>
      </c>
      <c r="V11" s="208" t="s">
        <v>15</v>
      </c>
    </row>
    <row r="12" spans="1:24" ht="20.100000000000001" customHeight="1" x14ac:dyDescent="0.3">
      <c r="A12" s="195"/>
      <c r="B12" s="183"/>
      <c r="C12" s="184"/>
      <c r="D12" s="193" t="s">
        <v>84</v>
      </c>
      <c r="E12" s="192"/>
      <c r="F12" s="192"/>
      <c r="G12" s="192"/>
      <c r="H12" s="192"/>
      <c r="I12" s="192" t="s">
        <v>85</v>
      </c>
      <c r="J12" s="192"/>
      <c r="K12" s="192"/>
      <c r="L12" s="192"/>
      <c r="M12" s="192"/>
      <c r="N12" s="192" t="s">
        <v>86</v>
      </c>
      <c r="O12" s="192"/>
      <c r="P12" s="192"/>
      <c r="Q12" s="192"/>
      <c r="R12" s="192"/>
      <c r="S12" s="201"/>
      <c r="T12" s="209"/>
      <c r="U12" s="198"/>
      <c r="V12" s="209"/>
    </row>
    <row r="13" spans="1:24" ht="24.75" customHeight="1" thickBot="1" x14ac:dyDescent="0.35">
      <c r="A13" s="196"/>
      <c r="B13" s="183"/>
      <c r="C13" s="184"/>
      <c r="D13" s="121" t="str">
        <f>U54</f>
        <v>X-1</v>
      </c>
      <c r="E13" s="122" t="str">
        <f>U55</f>
        <v>X-2</v>
      </c>
      <c r="F13" s="122" t="str">
        <f>U56</f>
        <v>X-3</v>
      </c>
      <c r="G13" s="122" t="str">
        <f>U57</f>
        <v>X-4</v>
      </c>
      <c r="H13" s="122" t="str">
        <f>U58</f>
        <v>X-5</v>
      </c>
      <c r="I13" s="123" t="str">
        <f>U59</f>
        <v>XI-1</v>
      </c>
      <c r="J13" s="123" t="str">
        <f>U60</f>
        <v>XI-2</v>
      </c>
      <c r="K13" s="123" t="str">
        <f>U61</f>
        <v>XI-3</v>
      </c>
      <c r="L13" s="123" t="str">
        <f>U62</f>
        <v>XI-4</v>
      </c>
      <c r="M13" s="123" t="str">
        <f>U63</f>
        <v>XI-5</v>
      </c>
      <c r="N13" s="123" t="str">
        <f>U64</f>
        <v>XII-1</v>
      </c>
      <c r="O13" s="123" t="str">
        <f>U65</f>
        <v>XII-2</v>
      </c>
      <c r="P13" s="123" t="str">
        <f>U66</f>
        <v>XII-3</v>
      </c>
      <c r="Q13" s="123" t="str">
        <f>U67</f>
        <v>XII-4</v>
      </c>
      <c r="R13" s="129" t="str">
        <f>U68</f>
        <v>XII-5</v>
      </c>
      <c r="S13" s="202"/>
      <c r="T13" s="210"/>
      <c r="U13" s="199"/>
      <c r="V13" s="210"/>
    </row>
    <row r="14" spans="1:24" ht="18.600000000000001" thickTop="1" x14ac:dyDescent="0.3">
      <c r="A14" s="97"/>
      <c r="B14" s="145">
        <v>1</v>
      </c>
      <c r="C14" s="147" t="s">
        <v>109</v>
      </c>
      <c r="D14" s="141"/>
      <c r="E14" s="130"/>
      <c r="F14" s="130"/>
      <c r="G14" s="130"/>
      <c r="H14" s="130"/>
      <c r="I14" s="130"/>
      <c r="J14" s="130"/>
      <c r="K14" s="130"/>
      <c r="L14" s="130"/>
      <c r="M14" s="130"/>
      <c r="N14" s="131"/>
      <c r="O14" s="131"/>
      <c r="P14" s="131"/>
      <c r="Q14" s="131"/>
      <c r="R14" s="134"/>
      <c r="S14" s="127">
        <v>1</v>
      </c>
      <c r="T14" s="104" t="s">
        <v>138</v>
      </c>
      <c r="U14" s="103"/>
      <c r="V14" s="107" t="s">
        <v>174</v>
      </c>
      <c r="X14" s="11"/>
    </row>
    <row r="15" spans="1:24" ht="18" customHeight="1" x14ac:dyDescent="0.3">
      <c r="A15" s="213" t="s">
        <v>17</v>
      </c>
      <c r="B15" s="137">
        <v>2</v>
      </c>
      <c r="C15" s="138" t="s">
        <v>110</v>
      </c>
      <c r="D15" s="142"/>
      <c r="E15" s="124"/>
      <c r="F15" s="124"/>
      <c r="G15" s="124"/>
      <c r="H15" s="124"/>
      <c r="I15" s="124"/>
      <c r="J15" s="124"/>
      <c r="K15" s="124"/>
      <c r="L15" s="124"/>
      <c r="M15" s="124"/>
      <c r="N15" s="98"/>
      <c r="O15" s="98"/>
      <c r="P15" s="98"/>
      <c r="Q15" s="98"/>
      <c r="R15" s="135"/>
      <c r="S15" s="128" t="s">
        <v>121</v>
      </c>
      <c r="T15" s="105" t="s">
        <v>139</v>
      </c>
      <c r="U15" s="100"/>
      <c r="V15" s="107" t="s">
        <v>175</v>
      </c>
    </row>
    <row r="16" spans="1:24" ht="18" customHeight="1" x14ac:dyDescent="0.3">
      <c r="A16" s="213"/>
      <c r="B16" s="137">
        <v>3</v>
      </c>
      <c r="C16" s="138" t="s">
        <v>111</v>
      </c>
      <c r="D16" s="142"/>
      <c r="E16" s="124"/>
      <c r="F16" s="124"/>
      <c r="G16" s="124"/>
      <c r="H16" s="124"/>
      <c r="I16" s="124"/>
      <c r="J16" s="124"/>
      <c r="K16" s="124"/>
      <c r="L16" s="124"/>
      <c r="M16" s="124"/>
      <c r="N16" s="98"/>
      <c r="O16" s="98"/>
      <c r="P16" s="98"/>
      <c r="Q16" s="98"/>
      <c r="R16" s="135"/>
      <c r="S16" s="128" t="s">
        <v>215</v>
      </c>
      <c r="T16" s="105" t="s">
        <v>140</v>
      </c>
      <c r="U16" s="100"/>
      <c r="V16" s="107" t="s">
        <v>176</v>
      </c>
    </row>
    <row r="17" spans="1:24" ht="18" customHeight="1" x14ac:dyDescent="0.3">
      <c r="A17" s="213"/>
      <c r="B17" s="137">
        <v>4</v>
      </c>
      <c r="C17" s="138" t="s">
        <v>112</v>
      </c>
      <c r="D17" s="142"/>
      <c r="E17" s="124"/>
      <c r="F17" s="124"/>
      <c r="G17" s="124"/>
      <c r="H17" s="124"/>
      <c r="I17" s="124"/>
      <c r="J17" s="124"/>
      <c r="K17" s="124"/>
      <c r="L17" s="124"/>
      <c r="M17" s="124"/>
      <c r="N17" s="98"/>
      <c r="O17" s="98"/>
      <c r="P17" s="98"/>
      <c r="Q17" s="98"/>
      <c r="R17" s="135"/>
      <c r="S17" s="149" t="s">
        <v>216</v>
      </c>
      <c r="T17" s="105" t="s">
        <v>141</v>
      </c>
      <c r="U17" s="100"/>
      <c r="V17" s="107" t="s">
        <v>177</v>
      </c>
    </row>
    <row r="18" spans="1:24" ht="18" customHeight="1" x14ac:dyDescent="0.3">
      <c r="A18" s="213"/>
      <c r="B18" s="137"/>
      <c r="C18" s="138" t="s">
        <v>113</v>
      </c>
      <c r="D18" s="178" t="s">
        <v>18</v>
      </c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80"/>
      <c r="S18" s="149" t="s">
        <v>217</v>
      </c>
      <c r="T18" s="105" t="s">
        <v>142</v>
      </c>
      <c r="U18" s="100"/>
      <c r="V18" s="107" t="s">
        <v>178</v>
      </c>
      <c r="X18" s="1" t="str">
        <f>IFERROR(HLOOKUP(#REF!,$D19:$R$25,2,0),"")</f>
        <v/>
      </c>
    </row>
    <row r="19" spans="1:24" ht="18" customHeight="1" x14ac:dyDescent="0.3">
      <c r="A19" s="213"/>
      <c r="B19" s="137">
        <v>5</v>
      </c>
      <c r="C19" s="138" t="s">
        <v>114</v>
      </c>
      <c r="D19" s="142"/>
      <c r="E19" s="124"/>
      <c r="F19" s="124"/>
      <c r="G19" s="124"/>
      <c r="H19" s="124"/>
      <c r="I19" s="124"/>
      <c r="J19" s="124"/>
      <c r="K19" s="98"/>
      <c r="L19" s="98"/>
      <c r="M19" s="98"/>
      <c r="N19" s="98"/>
      <c r="O19" s="98"/>
      <c r="P19" s="98"/>
      <c r="Q19" s="98"/>
      <c r="R19" s="135"/>
      <c r="S19" s="149" t="s">
        <v>218</v>
      </c>
      <c r="T19" s="104" t="s">
        <v>143</v>
      </c>
      <c r="U19" s="100"/>
      <c r="V19" s="107" t="s">
        <v>179</v>
      </c>
    </row>
    <row r="20" spans="1:24" ht="18" customHeight="1" x14ac:dyDescent="0.3">
      <c r="A20" s="213"/>
      <c r="B20" s="137">
        <v>6</v>
      </c>
      <c r="C20" s="138" t="s">
        <v>115</v>
      </c>
      <c r="D20" s="142"/>
      <c r="E20" s="124"/>
      <c r="F20" s="124"/>
      <c r="G20" s="124"/>
      <c r="H20" s="124"/>
      <c r="I20" s="124"/>
      <c r="J20" s="124"/>
      <c r="K20" s="98"/>
      <c r="L20" s="98"/>
      <c r="M20" s="98"/>
      <c r="N20" s="98"/>
      <c r="O20" s="98"/>
      <c r="P20" s="98"/>
      <c r="Q20" s="98"/>
      <c r="R20" s="135"/>
      <c r="S20" s="128" t="s">
        <v>219</v>
      </c>
      <c r="T20" s="105" t="s">
        <v>144</v>
      </c>
      <c r="U20" s="100"/>
      <c r="V20" s="107" t="s">
        <v>180</v>
      </c>
    </row>
    <row r="21" spans="1:24" ht="18" customHeight="1" x14ac:dyDescent="0.3">
      <c r="A21" s="213"/>
      <c r="B21" s="137">
        <v>7</v>
      </c>
      <c r="C21" s="138" t="s">
        <v>116</v>
      </c>
      <c r="D21" s="12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135"/>
      <c r="S21" s="128" t="s">
        <v>220</v>
      </c>
      <c r="T21" s="105" t="s">
        <v>145</v>
      </c>
      <c r="U21" s="100"/>
      <c r="V21" s="107" t="s">
        <v>181</v>
      </c>
    </row>
    <row r="22" spans="1:24" ht="18" customHeight="1" x14ac:dyDescent="0.3">
      <c r="A22" s="213"/>
      <c r="B22" s="137"/>
      <c r="C22" s="138" t="s">
        <v>117</v>
      </c>
      <c r="D22" s="178" t="s">
        <v>18</v>
      </c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80"/>
      <c r="S22" s="128" t="s">
        <v>221</v>
      </c>
      <c r="T22" s="105" t="s">
        <v>146</v>
      </c>
      <c r="U22" s="100"/>
      <c r="V22" s="107" t="s">
        <v>182</v>
      </c>
    </row>
    <row r="23" spans="1:24" ht="18" customHeight="1" x14ac:dyDescent="0.3">
      <c r="A23" s="213"/>
      <c r="B23" s="137">
        <v>8</v>
      </c>
      <c r="C23" s="138" t="s">
        <v>118</v>
      </c>
      <c r="D23" s="12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135"/>
      <c r="S23" s="128" t="s">
        <v>35</v>
      </c>
      <c r="T23" s="105" t="s">
        <v>147</v>
      </c>
      <c r="U23" s="100"/>
      <c r="V23" s="107" t="s">
        <v>179</v>
      </c>
    </row>
    <row r="24" spans="1:24" ht="18" customHeight="1" x14ac:dyDescent="0.3">
      <c r="A24" s="213"/>
      <c r="B24" s="137">
        <v>9</v>
      </c>
      <c r="C24" s="138" t="s">
        <v>119</v>
      </c>
      <c r="D24" s="12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135"/>
      <c r="S24" s="128" t="s">
        <v>36</v>
      </c>
      <c r="T24" s="105" t="s">
        <v>148</v>
      </c>
      <c r="U24" s="100"/>
      <c r="V24" s="107" t="s">
        <v>183</v>
      </c>
    </row>
    <row r="25" spans="1:24" ht="18" customHeight="1" x14ac:dyDescent="0.3">
      <c r="A25" s="214"/>
      <c r="B25" s="137">
        <v>10</v>
      </c>
      <c r="C25" s="138" t="s">
        <v>120</v>
      </c>
      <c r="D25" s="12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135"/>
      <c r="S25" s="128" t="s">
        <v>33</v>
      </c>
      <c r="T25" s="105" t="s">
        <v>149</v>
      </c>
      <c r="U25" s="100"/>
      <c r="V25" s="107" t="s">
        <v>174</v>
      </c>
    </row>
    <row r="26" spans="1:24" ht="18" customHeight="1" x14ac:dyDescent="0.3">
      <c r="A26" s="140"/>
      <c r="B26" s="137"/>
      <c r="C26" s="138"/>
      <c r="D26" s="12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135"/>
      <c r="S26" s="128" t="s">
        <v>37</v>
      </c>
      <c r="T26" s="105" t="s">
        <v>150</v>
      </c>
      <c r="U26" s="100"/>
      <c r="V26" s="107" t="s">
        <v>184</v>
      </c>
    </row>
    <row r="27" spans="1:24" ht="18" customHeight="1" thickBot="1" x14ac:dyDescent="0.35">
      <c r="A27" s="140"/>
      <c r="B27" s="146"/>
      <c r="C27" s="148"/>
      <c r="D27" s="139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6"/>
      <c r="S27" s="128" t="s">
        <v>38</v>
      </c>
      <c r="T27" s="105" t="s">
        <v>151</v>
      </c>
      <c r="U27" s="100"/>
      <c r="V27" s="107" t="s">
        <v>185</v>
      </c>
    </row>
    <row r="28" spans="1:24" ht="18" customHeight="1" thickTop="1" x14ac:dyDescent="0.3">
      <c r="A28" s="211" t="s">
        <v>19</v>
      </c>
      <c r="B28" s="145">
        <v>1</v>
      </c>
      <c r="C28" s="147" t="s">
        <v>3</v>
      </c>
      <c r="D28" s="143"/>
      <c r="E28" s="125"/>
      <c r="F28" s="125"/>
      <c r="G28" s="125"/>
      <c r="H28" s="125"/>
      <c r="I28" s="125"/>
      <c r="J28" s="125"/>
      <c r="K28" s="125"/>
      <c r="L28" s="125"/>
      <c r="M28" s="125"/>
      <c r="N28" s="126"/>
      <c r="O28" s="126"/>
      <c r="P28" s="126"/>
      <c r="Q28" s="126"/>
      <c r="R28" s="144"/>
      <c r="S28" s="128" t="s">
        <v>39</v>
      </c>
      <c r="T28" s="105" t="s">
        <v>152</v>
      </c>
      <c r="U28" s="100"/>
      <c r="V28" s="107" t="s">
        <v>186</v>
      </c>
    </row>
    <row r="29" spans="1:24" ht="18" customHeight="1" x14ac:dyDescent="0.3">
      <c r="A29" s="213"/>
      <c r="B29" s="137">
        <v>2</v>
      </c>
      <c r="C29" s="138" t="s">
        <v>4</v>
      </c>
      <c r="D29" s="142"/>
      <c r="E29" s="124"/>
      <c r="F29" s="124"/>
      <c r="G29" s="124"/>
      <c r="H29" s="124"/>
      <c r="I29" s="124"/>
      <c r="J29" s="124"/>
      <c r="K29" s="124"/>
      <c r="L29" s="124"/>
      <c r="M29" s="124"/>
      <c r="N29" s="98"/>
      <c r="O29" s="98"/>
      <c r="P29" s="98"/>
      <c r="Q29" s="98"/>
      <c r="R29" s="135"/>
      <c r="S29" s="128" t="s">
        <v>40</v>
      </c>
      <c r="T29" s="105" t="s">
        <v>153</v>
      </c>
      <c r="U29" s="100"/>
      <c r="V29" s="107" t="s">
        <v>187</v>
      </c>
    </row>
    <row r="30" spans="1:24" ht="18" customHeight="1" x14ac:dyDescent="0.3">
      <c r="A30" s="213"/>
      <c r="B30" s="137">
        <v>3</v>
      </c>
      <c r="C30" s="138" t="s">
        <v>5</v>
      </c>
      <c r="D30" s="142"/>
      <c r="E30" s="124"/>
      <c r="F30" s="124"/>
      <c r="G30" s="124"/>
      <c r="H30" s="124"/>
      <c r="I30" s="124"/>
      <c r="J30" s="124"/>
      <c r="K30" s="124"/>
      <c r="L30" s="124"/>
      <c r="M30" s="124"/>
      <c r="N30" s="98"/>
      <c r="O30" s="98"/>
      <c r="P30" s="98"/>
      <c r="Q30" s="98"/>
      <c r="R30" s="135"/>
      <c r="S30" s="128" t="s">
        <v>41</v>
      </c>
      <c r="T30" s="105" t="s">
        <v>154</v>
      </c>
      <c r="U30" s="101"/>
      <c r="V30" s="107" t="s">
        <v>181</v>
      </c>
    </row>
    <row r="31" spans="1:24" ht="18" customHeight="1" x14ac:dyDescent="0.3">
      <c r="A31" s="213"/>
      <c r="B31" s="137">
        <v>4</v>
      </c>
      <c r="C31" s="138" t="s">
        <v>6</v>
      </c>
      <c r="D31" s="142"/>
      <c r="E31" s="124"/>
      <c r="F31" s="124"/>
      <c r="G31" s="124"/>
      <c r="H31" s="124"/>
      <c r="I31" s="124"/>
      <c r="J31" s="124"/>
      <c r="K31" s="124"/>
      <c r="L31" s="124"/>
      <c r="M31" s="124"/>
      <c r="N31" s="98"/>
      <c r="O31" s="98"/>
      <c r="P31" s="98"/>
      <c r="Q31" s="98"/>
      <c r="R31" s="135"/>
      <c r="S31" s="128" t="s">
        <v>42</v>
      </c>
      <c r="T31" s="105" t="s">
        <v>155</v>
      </c>
      <c r="U31" s="101"/>
      <c r="V31" s="107" t="s">
        <v>188</v>
      </c>
    </row>
    <row r="32" spans="1:24" ht="18" customHeight="1" x14ac:dyDescent="0.3">
      <c r="A32" s="213"/>
      <c r="B32" s="137"/>
      <c r="C32" s="138" t="s">
        <v>8</v>
      </c>
      <c r="D32" s="178" t="s">
        <v>18</v>
      </c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80"/>
      <c r="S32" s="128" t="s">
        <v>43</v>
      </c>
      <c r="T32" s="105" t="s">
        <v>156</v>
      </c>
      <c r="U32" s="101"/>
      <c r="V32" s="107" t="s">
        <v>189</v>
      </c>
    </row>
    <row r="33" spans="1:22" ht="18" customHeight="1" x14ac:dyDescent="0.3">
      <c r="A33" s="213"/>
      <c r="B33" s="137">
        <v>5</v>
      </c>
      <c r="C33" s="138" t="s">
        <v>7</v>
      </c>
      <c r="D33" s="142" t="s">
        <v>218</v>
      </c>
      <c r="E33" s="124"/>
      <c r="F33" s="124"/>
      <c r="G33" s="124"/>
      <c r="H33" s="124"/>
      <c r="I33" s="124"/>
      <c r="J33" s="124"/>
      <c r="K33" s="98"/>
      <c r="L33" s="98"/>
      <c r="M33" s="98"/>
      <c r="N33" s="98"/>
      <c r="O33" s="98"/>
      <c r="P33" s="98"/>
      <c r="Q33" s="98"/>
      <c r="R33" s="135"/>
      <c r="S33" s="128" t="s">
        <v>44</v>
      </c>
      <c r="T33" s="105" t="s">
        <v>157</v>
      </c>
      <c r="U33" s="101"/>
      <c r="V33" s="107" t="s">
        <v>190</v>
      </c>
    </row>
    <row r="34" spans="1:22" ht="18" customHeight="1" x14ac:dyDescent="0.3">
      <c r="A34" s="213"/>
      <c r="B34" s="137">
        <v>6</v>
      </c>
      <c r="C34" s="138" t="s">
        <v>9</v>
      </c>
      <c r="D34" s="142" t="s">
        <v>218</v>
      </c>
      <c r="E34" s="124"/>
      <c r="F34" s="124"/>
      <c r="G34" s="124"/>
      <c r="H34" s="124"/>
      <c r="I34" s="124"/>
      <c r="J34" s="124"/>
      <c r="K34" s="98"/>
      <c r="L34" s="98"/>
      <c r="M34" s="98"/>
      <c r="N34" s="98"/>
      <c r="O34" s="98"/>
      <c r="P34" s="98"/>
      <c r="Q34" s="98"/>
      <c r="R34" s="135"/>
      <c r="S34" s="128" t="s">
        <v>45</v>
      </c>
      <c r="T34" s="105" t="s">
        <v>158</v>
      </c>
      <c r="U34" s="101"/>
      <c r="V34" s="107" t="s">
        <v>191</v>
      </c>
    </row>
    <row r="35" spans="1:22" ht="18" customHeight="1" x14ac:dyDescent="0.3">
      <c r="A35" s="213"/>
      <c r="B35" s="137">
        <v>7</v>
      </c>
      <c r="C35" s="138" t="s">
        <v>11</v>
      </c>
      <c r="D35" s="128" t="s">
        <v>218</v>
      </c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135"/>
      <c r="S35" s="128" t="s">
        <v>46</v>
      </c>
      <c r="T35" s="105" t="s">
        <v>159</v>
      </c>
      <c r="U35" s="101"/>
      <c r="V35" s="107" t="s">
        <v>29</v>
      </c>
    </row>
    <row r="36" spans="1:22" ht="18" customHeight="1" x14ac:dyDescent="0.3">
      <c r="A36" s="213"/>
      <c r="B36" s="137"/>
      <c r="C36" s="138" t="s">
        <v>10</v>
      </c>
      <c r="D36" s="178" t="s">
        <v>18</v>
      </c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80"/>
      <c r="S36" s="149" t="s">
        <v>47</v>
      </c>
      <c r="T36" s="105" t="s">
        <v>160</v>
      </c>
      <c r="U36" s="101"/>
      <c r="V36" s="107" t="s">
        <v>192</v>
      </c>
    </row>
    <row r="37" spans="1:22" ht="18" customHeight="1" x14ac:dyDescent="0.3">
      <c r="A37" s="213"/>
      <c r="B37" s="137">
        <v>8</v>
      </c>
      <c r="C37" s="138" t="s">
        <v>12</v>
      </c>
      <c r="D37" s="128" t="s">
        <v>216</v>
      </c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135"/>
      <c r="S37" s="128" t="s">
        <v>48</v>
      </c>
      <c r="T37" s="105" t="s">
        <v>161</v>
      </c>
      <c r="U37" s="101"/>
      <c r="V37" s="107" t="s">
        <v>178</v>
      </c>
    </row>
    <row r="38" spans="1:22" ht="18" customHeight="1" x14ac:dyDescent="0.3">
      <c r="A38" s="213"/>
      <c r="B38" s="137">
        <v>9</v>
      </c>
      <c r="C38" s="138" t="s">
        <v>13</v>
      </c>
      <c r="D38" s="128" t="s">
        <v>216</v>
      </c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135"/>
      <c r="S38" s="128" t="s">
        <v>49</v>
      </c>
      <c r="T38" s="105" t="s">
        <v>162</v>
      </c>
      <c r="U38" s="101"/>
      <c r="V38" s="107" t="s">
        <v>193</v>
      </c>
    </row>
    <row r="39" spans="1:22" ht="18" customHeight="1" x14ac:dyDescent="0.3">
      <c r="A39" s="213"/>
      <c r="B39" s="137">
        <v>10</v>
      </c>
      <c r="C39" s="138" t="s">
        <v>14</v>
      </c>
      <c r="D39" s="128" t="s">
        <v>216</v>
      </c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135"/>
      <c r="S39" s="128" t="s">
        <v>50</v>
      </c>
      <c r="T39" s="105" t="s">
        <v>163</v>
      </c>
      <c r="U39" s="101"/>
      <c r="V39" s="107" t="s">
        <v>194</v>
      </c>
    </row>
    <row r="40" spans="1:22" ht="18" customHeight="1" x14ac:dyDescent="0.3">
      <c r="A40" s="213"/>
      <c r="B40" s="137"/>
      <c r="C40" s="138"/>
      <c r="D40" s="12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135"/>
      <c r="S40" s="149" t="s">
        <v>51</v>
      </c>
      <c r="T40" s="105" t="s">
        <v>164</v>
      </c>
      <c r="U40" s="101"/>
      <c r="V40" s="107" t="s">
        <v>195</v>
      </c>
    </row>
    <row r="41" spans="1:22" ht="18" customHeight="1" thickBot="1" x14ac:dyDescent="0.35">
      <c r="A41" s="213"/>
      <c r="B41" s="146"/>
      <c r="C41" s="148"/>
      <c r="D41" s="139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6"/>
      <c r="S41" s="149" t="s">
        <v>52</v>
      </c>
      <c r="T41" s="105" t="s">
        <v>165</v>
      </c>
      <c r="U41" s="101"/>
      <c r="V41" s="107" t="s">
        <v>30</v>
      </c>
    </row>
    <row r="42" spans="1:22" ht="18" customHeight="1" thickTop="1" x14ac:dyDescent="0.3">
      <c r="A42" s="211" t="s">
        <v>20</v>
      </c>
      <c r="B42" s="145">
        <v>1</v>
      </c>
      <c r="C42" s="147" t="s">
        <v>3</v>
      </c>
      <c r="D42" s="141"/>
      <c r="E42" s="130"/>
      <c r="F42" s="130"/>
      <c r="G42" s="130"/>
      <c r="H42" s="130"/>
      <c r="I42" s="130"/>
      <c r="J42" s="130"/>
      <c r="K42" s="130"/>
      <c r="L42" s="130"/>
      <c r="M42" s="130"/>
      <c r="N42" s="131"/>
      <c r="O42" s="131"/>
      <c r="P42" s="131"/>
      <c r="Q42" s="131"/>
      <c r="R42" s="134"/>
      <c r="S42" s="149" t="s">
        <v>53</v>
      </c>
      <c r="T42" s="105" t="s">
        <v>166</v>
      </c>
      <c r="U42" s="102"/>
      <c r="V42" s="107" t="s">
        <v>178</v>
      </c>
    </row>
    <row r="43" spans="1:22" ht="18" customHeight="1" x14ac:dyDescent="0.3">
      <c r="A43" s="212"/>
      <c r="B43" s="137">
        <v>2</v>
      </c>
      <c r="C43" s="138" t="s">
        <v>4</v>
      </c>
      <c r="D43" s="142"/>
      <c r="E43" s="124"/>
      <c r="F43" s="124"/>
      <c r="G43" s="124"/>
      <c r="H43" s="124"/>
      <c r="I43" s="124"/>
      <c r="J43" s="124"/>
      <c r="K43" s="124"/>
      <c r="L43" s="124"/>
      <c r="M43" s="124"/>
      <c r="N43" s="98"/>
      <c r="O43" s="98"/>
      <c r="P43" s="98"/>
      <c r="Q43" s="98"/>
      <c r="R43" s="135"/>
      <c r="S43" s="128" t="s">
        <v>54</v>
      </c>
      <c r="T43" s="105" t="s">
        <v>167</v>
      </c>
      <c r="U43" s="102"/>
      <c r="V43" s="107" t="s">
        <v>196</v>
      </c>
    </row>
    <row r="44" spans="1:22" ht="18" customHeight="1" x14ac:dyDescent="0.3">
      <c r="A44" s="213"/>
      <c r="B44" s="137">
        <v>3</v>
      </c>
      <c r="C44" s="138" t="s">
        <v>5</v>
      </c>
      <c r="D44" s="142"/>
      <c r="E44" s="124"/>
      <c r="F44" s="124"/>
      <c r="G44" s="124"/>
      <c r="H44" s="124"/>
      <c r="I44" s="124"/>
      <c r="J44" s="124"/>
      <c r="K44" s="124"/>
      <c r="L44" s="124"/>
      <c r="M44" s="124"/>
      <c r="N44" s="98"/>
      <c r="O44" s="98"/>
      <c r="P44" s="98"/>
      <c r="Q44" s="98"/>
      <c r="R44" s="135"/>
      <c r="S44" s="128" t="s">
        <v>55</v>
      </c>
      <c r="T44" s="105" t="s">
        <v>168</v>
      </c>
      <c r="U44" s="102"/>
      <c r="V44" s="107" t="s">
        <v>31</v>
      </c>
    </row>
    <row r="45" spans="1:22" ht="18" customHeight="1" x14ac:dyDescent="0.3">
      <c r="A45" s="213"/>
      <c r="B45" s="137">
        <v>4</v>
      </c>
      <c r="C45" s="138" t="s">
        <v>6</v>
      </c>
      <c r="D45" s="142"/>
      <c r="E45" s="124"/>
      <c r="F45" s="124"/>
      <c r="G45" s="124"/>
      <c r="H45" s="124"/>
      <c r="I45" s="124"/>
      <c r="J45" s="124"/>
      <c r="K45" s="124"/>
      <c r="L45" s="124"/>
      <c r="M45" s="124"/>
      <c r="N45" s="98"/>
      <c r="O45" s="98"/>
      <c r="P45" s="98"/>
      <c r="Q45" s="98"/>
      <c r="R45" s="135"/>
      <c r="S45" s="128" t="s">
        <v>56</v>
      </c>
      <c r="T45" s="104" t="s">
        <v>169</v>
      </c>
      <c r="U45" s="102"/>
      <c r="V45" s="107" t="s">
        <v>197</v>
      </c>
    </row>
    <row r="46" spans="1:22" ht="18" customHeight="1" x14ac:dyDescent="0.3">
      <c r="A46" s="213"/>
      <c r="B46" s="137"/>
      <c r="C46" s="138" t="s">
        <v>8</v>
      </c>
      <c r="D46" s="178" t="s">
        <v>18</v>
      </c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80"/>
      <c r="S46" s="128" t="s">
        <v>57</v>
      </c>
      <c r="T46" s="105" t="s">
        <v>170</v>
      </c>
      <c r="U46" s="102"/>
      <c r="V46" s="107" t="s">
        <v>198</v>
      </c>
    </row>
    <row r="47" spans="1:22" ht="18" customHeight="1" x14ac:dyDescent="0.3">
      <c r="A47" s="213"/>
      <c r="B47" s="137">
        <v>5</v>
      </c>
      <c r="C47" s="138" t="s">
        <v>7</v>
      </c>
      <c r="D47" s="142" t="s">
        <v>222</v>
      </c>
      <c r="E47" s="124"/>
      <c r="F47" s="124"/>
      <c r="G47" s="124"/>
      <c r="H47" s="124"/>
      <c r="I47" s="124"/>
      <c r="J47" s="124"/>
      <c r="K47" s="98"/>
      <c r="L47" s="98"/>
      <c r="M47" s="98"/>
      <c r="N47" s="98"/>
      <c r="O47" s="98"/>
      <c r="P47" s="98"/>
      <c r="Q47" s="98"/>
      <c r="R47" s="135"/>
      <c r="S47" s="149" t="s">
        <v>58</v>
      </c>
      <c r="T47" s="105" t="s">
        <v>171</v>
      </c>
      <c r="U47" s="102"/>
      <c r="V47" s="107" t="s">
        <v>30</v>
      </c>
    </row>
    <row r="48" spans="1:22" ht="18" customHeight="1" x14ac:dyDescent="0.3">
      <c r="A48" s="213"/>
      <c r="B48" s="137">
        <v>6</v>
      </c>
      <c r="C48" s="138" t="s">
        <v>9</v>
      </c>
      <c r="D48" s="142"/>
      <c r="E48" s="124" t="s">
        <v>222</v>
      </c>
      <c r="F48" s="124"/>
      <c r="G48" s="124"/>
      <c r="H48" s="124"/>
      <c r="I48" s="124"/>
      <c r="J48" s="124"/>
      <c r="K48" s="98"/>
      <c r="L48" s="98"/>
      <c r="M48" s="98"/>
      <c r="N48" s="98"/>
      <c r="O48" s="98"/>
      <c r="P48" s="98"/>
      <c r="Q48" s="98"/>
      <c r="R48" s="135"/>
      <c r="S48" s="149" t="s">
        <v>59</v>
      </c>
      <c r="T48" s="105" t="s">
        <v>172</v>
      </c>
      <c r="U48" s="102"/>
      <c r="V48" s="107" t="s">
        <v>199</v>
      </c>
    </row>
    <row r="49" spans="1:22" ht="18" customHeight="1" x14ac:dyDescent="0.3">
      <c r="A49" s="213"/>
      <c r="B49" s="137">
        <v>7</v>
      </c>
      <c r="C49" s="138" t="s">
        <v>11</v>
      </c>
      <c r="D49" s="128" t="s">
        <v>53</v>
      </c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135"/>
      <c r="S49" s="128" t="s">
        <v>60</v>
      </c>
      <c r="T49" s="106" t="s">
        <v>173</v>
      </c>
      <c r="U49" s="102"/>
      <c r="V49" s="107" t="s">
        <v>200</v>
      </c>
    </row>
    <row r="50" spans="1:22" ht="18" customHeight="1" x14ac:dyDescent="0.3">
      <c r="A50" s="213"/>
      <c r="B50" s="137"/>
      <c r="C50" s="138" t="s">
        <v>10</v>
      </c>
      <c r="D50" s="178" t="s">
        <v>18</v>
      </c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80"/>
      <c r="S50" s="128"/>
      <c r="T50" s="99"/>
      <c r="U50" s="102"/>
      <c r="V50" s="99"/>
    </row>
    <row r="51" spans="1:22" ht="18" customHeight="1" thickBot="1" x14ac:dyDescent="0.35">
      <c r="A51" s="213"/>
      <c r="B51" s="137">
        <v>8</v>
      </c>
      <c r="C51" s="138" t="s">
        <v>12</v>
      </c>
      <c r="D51" s="12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135"/>
      <c r="S51" s="128"/>
      <c r="T51" s="99"/>
      <c r="U51" s="102"/>
      <c r="V51" s="99"/>
    </row>
    <row r="52" spans="1:22" ht="18" customHeight="1" x14ac:dyDescent="0.3">
      <c r="A52" s="213"/>
      <c r="B52" s="137">
        <v>9</v>
      </c>
      <c r="C52" s="138" t="s">
        <v>13</v>
      </c>
      <c r="D52" s="12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135"/>
      <c r="S52" s="185" t="s">
        <v>201</v>
      </c>
      <c r="T52" s="187" t="s">
        <v>24</v>
      </c>
      <c r="U52" s="187" t="s">
        <v>202</v>
      </c>
      <c r="V52" s="99"/>
    </row>
    <row r="53" spans="1:22" ht="18" customHeight="1" thickBot="1" x14ac:dyDescent="0.35">
      <c r="A53" s="213"/>
      <c r="B53" s="137">
        <v>10</v>
      </c>
      <c r="C53" s="138" t="s">
        <v>14</v>
      </c>
      <c r="D53" s="12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135"/>
      <c r="S53" s="186"/>
      <c r="T53" s="188"/>
      <c r="U53" s="188"/>
      <c r="V53" s="99"/>
    </row>
    <row r="54" spans="1:22" ht="18" customHeight="1" thickBot="1" x14ac:dyDescent="0.35">
      <c r="A54" s="213"/>
      <c r="B54" s="137"/>
      <c r="C54" s="138"/>
      <c r="D54" s="12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135"/>
      <c r="S54" s="133">
        <v>1</v>
      </c>
      <c r="T54" s="108" t="s">
        <v>203</v>
      </c>
      <c r="U54" s="109" t="s">
        <v>122</v>
      </c>
      <c r="V54" s="99"/>
    </row>
    <row r="55" spans="1:22" ht="18" customHeight="1" thickBot="1" x14ac:dyDescent="0.35">
      <c r="A55" s="213"/>
      <c r="B55" s="146"/>
      <c r="C55" s="148"/>
      <c r="D55" s="139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6"/>
      <c r="S55" s="133">
        <v>2</v>
      </c>
      <c r="T55" s="108" t="s">
        <v>204</v>
      </c>
      <c r="U55" s="109" t="s">
        <v>123</v>
      </c>
      <c r="V55" s="99"/>
    </row>
    <row r="56" spans="1:22" ht="18" customHeight="1" thickTop="1" thickBot="1" x14ac:dyDescent="0.35">
      <c r="A56" s="211" t="s">
        <v>21</v>
      </c>
      <c r="B56" s="145">
        <v>1</v>
      </c>
      <c r="C56" s="147" t="s">
        <v>3</v>
      </c>
      <c r="D56" s="141"/>
      <c r="E56" s="130"/>
      <c r="F56" s="130"/>
      <c r="G56" s="130"/>
      <c r="H56" s="130"/>
      <c r="I56" s="130"/>
      <c r="J56" s="130"/>
      <c r="K56" s="130"/>
      <c r="L56" s="130"/>
      <c r="M56" s="130"/>
      <c r="N56" s="131"/>
      <c r="O56" s="131"/>
      <c r="P56" s="131"/>
      <c r="Q56" s="131"/>
      <c r="R56" s="134"/>
      <c r="S56" s="133">
        <v>3</v>
      </c>
      <c r="T56" s="108" t="s">
        <v>169</v>
      </c>
      <c r="U56" s="109" t="s">
        <v>124</v>
      </c>
      <c r="V56" s="99"/>
    </row>
    <row r="57" spans="1:22" ht="18" customHeight="1" thickBot="1" x14ac:dyDescent="0.35">
      <c r="A57" s="212"/>
      <c r="B57" s="137">
        <v>2</v>
      </c>
      <c r="C57" s="138" t="s">
        <v>4</v>
      </c>
      <c r="D57" s="142"/>
      <c r="E57" s="124"/>
      <c r="F57" s="124"/>
      <c r="G57" s="124"/>
      <c r="H57" s="124"/>
      <c r="I57" s="124"/>
      <c r="J57" s="124"/>
      <c r="K57" s="124"/>
      <c r="L57" s="124"/>
      <c r="M57" s="124"/>
      <c r="N57" s="98"/>
      <c r="O57" s="98"/>
      <c r="P57" s="98"/>
      <c r="Q57" s="98"/>
      <c r="R57" s="135"/>
      <c r="S57" s="133">
        <v>4</v>
      </c>
      <c r="T57" s="108" t="s">
        <v>162</v>
      </c>
      <c r="U57" s="109" t="s">
        <v>125</v>
      </c>
      <c r="V57" s="99"/>
    </row>
    <row r="58" spans="1:22" ht="18" customHeight="1" thickBot="1" x14ac:dyDescent="0.35">
      <c r="A58" s="213"/>
      <c r="B58" s="137">
        <v>3</v>
      </c>
      <c r="C58" s="138" t="s">
        <v>5</v>
      </c>
      <c r="D58" s="142"/>
      <c r="E58" s="124"/>
      <c r="F58" s="124"/>
      <c r="G58" s="124"/>
      <c r="H58" s="124"/>
      <c r="I58" s="124"/>
      <c r="J58" s="124"/>
      <c r="K58" s="124"/>
      <c r="L58" s="124"/>
      <c r="M58" s="124"/>
      <c r="N58" s="98"/>
      <c r="O58" s="98"/>
      <c r="P58" s="98"/>
      <c r="Q58" s="98"/>
      <c r="R58" s="135"/>
      <c r="S58" s="133">
        <v>5</v>
      </c>
      <c r="T58" s="108" t="s">
        <v>150</v>
      </c>
      <c r="U58" s="109" t="s">
        <v>126</v>
      </c>
      <c r="V58" s="99"/>
    </row>
    <row r="59" spans="1:22" ht="18" customHeight="1" thickBot="1" x14ac:dyDescent="0.35">
      <c r="A59" s="213"/>
      <c r="B59" s="137">
        <v>4</v>
      </c>
      <c r="C59" s="138" t="s">
        <v>6</v>
      </c>
      <c r="D59" s="142"/>
      <c r="E59" s="124"/>
      <c r="F59" s="124"/>
      <c r="G59" s="124"/>
      <c r="H59" s="124"/>
      <c r="I59" s="124"/>
      <c r="J59" s="124"/>
      <c r="K59" s="124"/>
      <c r="L59" s="124"/>
      <c r="M59" s="124"/>
      <c r="N59" s="98"/>
      <c r="O59" s="98"/>
      <c r="P59" s="98"/>
      <c r="Q59" s="98"/>
      <c r="R59" s="135"/>
      <c r="S59" s="133">
        <v>6</v>
      </c>
      <c r="T59" s="110" t="s">
        <v>205</v>
      </c>
      <c r="U59" s="109" t="s">
        <v>127</v>
      </c>
      <c r="V59" s="99"/>
    </row>
    <row r="60" spans="1:22" ht="18" customHeight="1" thickBot="1" x14ac:dyDescent="0.35">
      <c r="A60" s="213"/>
      <c r="B60" s="137"/>
      <c r="C60" s="138" t="s">
        <v>8</v>
      </c>
      <c r="D60" s="178" t="s">
        <v>18</v>
      </c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80"/>
      <c r="S60" s="133">
        <v>7</v>
      </c>
      <c r="T60" s="108" t="s">
        <v>206</v>
      </c>
      <c r="U60" s="109" t="s">
        <v>128</v>
      </c>
      <c r="V60" s="99"/>
    </row>
    <row r="61" spans="1:22" ht="18" customHeight="1" thickBot="1" x14ac:dyDescent="0.35">
      <c r="A61" s="213"/>
      <c r="B61" s="137">
        <v>5</v>
      </c>
      <c r="C61" s="138" t="s">
        <v>7</v>
      </c>
      <c r="D61" s="142"/>
      <c r="E61" s="124"/>
      <c r="F61" s="124"/>
      <c r="G61" s="124"/>
      <c r="H61" s="124"/>
      <c r="I61" s="124"/>
      <c r="J61" s="124"/>
      <c r="K61" s="98"/>
      <c r="L61" s="98"/>
      <c r="M61" s="98"/>
      <c r="N61" s="98"/>
      <c r="O61" s="98"/>
      <c r="P61" s="98"/>
      <c r="Q61" s="98"/>
      <c r="R61" s="135"/>
      <c r="S61" s="133">
        <v>8</v>
      </c>
      <c r="T61" s="108" t="s">
        <v>207</v>
      </c>
      <c r="U61" s="109" t="s">
        <v>129</v>
      </c>
      <c r="V61" s="99"/>
    </row>
    <row r="62" spans="1:22" ht="18" customHeight="1" thickBot="1" x14ac:dyDescent="0.35">
      <c r="A62" s="213"/>
      <c r="B62" s="137">
        <v>6</v>
      </c>
      <c r="C62" s="138" t="s">
        <v>9</v>
      </c>
      <c r="D62" s="142"/>
      <c r="E62" s="124"/>
      <c r="F62" s="124"/>
      <c r="G62" s="124"/>
      <c r="H62" s="124"/>
      <c r="I62" s="124"/>
      <c r="J62" s="124"/>
      <c r="K62" s="98"/>
      <c r="L62" s="98"/>
      <c r="M62" s="98"/>
      <c r="N62" s="98"/>
      <c r="O62" s="98"/>
      <c r="P62" s="98"/>
      <c r="Q62" s="98"/>
      <c r="R62" s="135"/>
      <c r="S62" s="133">
        <v>9</v>
      </c>
      <c r="T62" s="108" t="s">
        <v>167</v>
      </c>
      <c r="U62" s="109" t="s">
        <v>130</v>
      </c>
      <c r="V62" s="99"/>
    </row>
    <row r="63" spans="1:22" ht="18" customHeight="1" thickBot="1" x14ac:dyDescent="0.35">
      <c r="A63" s="213"/>
      <c r="B63" s="137">
        <v>7</v>
      </c>
      <c r="C63" s="138" t="s">
        <v>11</v>
      </c>
      <c r="D63" s="12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135"/>
      <c r="S63" s="133">
        <v>10</v>
      </c>
      <c r="T63" s="108" t="s">
        <v>208</v>
      </c>
      <c r="U63" s="109" t="s">
        <v>131</v>
      </c>
      <c r="V63" s="99"/>
    </row>
    <row r="64" spans="1:22" ht="18" customHeight="1" thickBot="1" x14ac:dyDescent="0.35">
      <c r="A64" s="213"/>
      <c r="B64" s="137"/>
      <c r="C64" s="138" t="s">
        <v>10</v>
      </c>
      <c r="D64" s="178" t="s">
        <v>18</v>
      </c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80"/>
      <c r="S64" s="133">
        <v>11</v>
      </c>
      <c r="T64" s="108" t="s">
        <v>209</v>
      </c>
      <c r="U64" s="109" t="s">
        <v>132</v>
      </c>
      <c r="V64" s="99"/>
    </row>
    <row r="65" spans="1:22" ht="18" customHeight="1" thickBot="1" x14ac:dyDescent="0.35">
      <c r="A65" s="213"/>
      <c r="B65" s="137">
        <v>8</v>
      </c>
      <c r="C65" s="138" t="s">
        <v>12</v>
      </c>
      <c r="D65" s="12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135"/>
      <c r="S65" s="133">
        <v>12</v>
      </c>
      <c r="T65" s="108" t="s">
        <v>210</v>
      </c>
      <c r="U65" s="109" t="s">
        <v>133</v>
      </c>
      <c r="V65" s="99"/>
    </row>
    <row r="66" spans="1:22" ht="18" customHeight="1" thickBot="1" x14ac:dyDescent="0.35">
      <c r="A66" s="213"/>
      <c r="B66" s="137">
        <v>9</v>
      </c>
      <c r="C66" s="138" t="s">
        <v>13</v>
      </c>
      <c r="D66" s="12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135"/>
      <c r="S66" s="133">
        <v>13</v>
      </c>
      <c r="T66" s="108" t="s">
        <v>211</v>
      </c>
      <c r="U66" s="109" t="s">
        <v>134</v>
      </c>
      <c r="V66" s="99"/>
    </row>
    <row r="67" spans="1:22" ht="18" customHeight="1" thickBot="1" x14ac:dyDescent="0.35">
      <c r="A67" s="213"/>
      <c r="B67" s="137">
        <v>10</v>
      </c>
      <c r="C67" s="138" t="s">
        <v>14</v>
      </c>
      <c r="D67" s="12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135"/>
      <c r="S67" s="133">
        <v>14</v>
      </c>
      <c r="T67" s="110" t="s">
        <v>212</v>
      </c>
      <c r="U67" s="109" t="s">
        <v>135</v>
      </c>
      <c r="V67" s="99"/>
    </row>
    <row r="68" spans="1:22" ht="18" customHeight="1" thickBot="1" x14ac:dyDescent="0.35">
      <c r="A68" s="213"/>
      <c r="B68" s="137"/>
      <c r="C68" s="138"/>
      <c r="D68" s="12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135"/>
      <c r="S68" s="133">
        <v>15</v>
      </c>
      <c r="T68" s="108" t="s">
        <v>213</v>
      </c>
      <c r="U68" s="109" t="s">
        <v>136</v>
      </c>
      <c r="V68" s="99"/>
    </row>
    <row r="69" spans="1:22" ht="18" customHeight="1" thickBot="1" x14ac:dyDescent="0.35">
      <c r="A69" s="213"/>
      <c r="B69" s="146"/>
      <c r="C69" s="148"/>
      <c r="D69" s="139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6"/>
      <c r="S69" s="111"/>
      <c r="T69" s="112"/>
      <c r="U69" s="113"/>
      <c r="V69" s="99"/>
    </row>
    <row r="70" spans="1:22" ht="18" customHeight="1" thickTop="1" x14ac:dyDescent="0.3">
      <c r="A70" s="211" t="s">
        <v>22</v>
      </c>
      <c r="B70" s="145">
        <v>1</v>
      </c>
      <c r="C70" s="147" t="s">
        <v>3</v>
      </c>
      <c r="D70" s="141"/>
      <c r="E70" s="130"/>
      <c r="F70" s="130"/>
      <c r="G70" s="130"/>
      <c r="H70" s="130"/>
      <c r="I70" s="130"/>
      <c r="J70" s="130"/>
      <c r="K70" s="130"/>
      <c r="L70" s="130"/>
      <c r="M70" s="130"/>
      <c r="N70" s="131"/>
      <c r="O70" s="131"/>
      <c r="P70" s="131"/>
      <c r="Q70" s="131"/>
      <c r="R70" s="134"/>
      <c r="S70" s="111"/>
      <c r="T70" s="114"/>
      <c r="U70" s="115"/>
      <c r="V70" s="99"/>
    </row>
    <row r="71" spans="1:22" ht="18" customHeight="1" x14ac:dyDescent="0.3">
      <c r="A71" s="212"/>
      <c r="B71" s="137">
        <v>2</v>
      </c>
      <c r="C71" s="138" t="s">
        <v>4</v>
      </c>
      <c r="D71" s="142"/>
      <c r="E71" s="124"/>
      <c r="F71" s="124"/>
      <c r="G71" s="124"/>
      <c r="H71" s="124"/>
      <c r="I71" s="124"/>
      <c r="J71" s="124"/>
      <c r="K71" s="124"/>
      <c r="L71" s="124"/>
      <c r="M71" s="124"/>
      <c r="N71" s="98"/>
      <c r="O71" s="98"/>
      <c r="P71" s="98"/>
      <c r="Q71" s="98"/>
      <c r="R71" s="135"/>
      <c r="S71" s="111"/>
      <c r="T71" s="189"/>
      <c r="U71" s="190"/>
      <c r="V71" s="99"/>
    </row>
    <row r="72" spans="1:22" ht="18" customHeight="1" x14ac:dyDescent="0.3">
      <c r="A72" s="213"/>
      <c r="B72" s="137">
        <v>3</v>
      </c>
      <c r="C72" s="138" t="s">
        <v>5</v>
      </c>
      <c r="D72" s="142"/>
      <c r="E72" s="124"/>
      <c r="F72" s="124"/>
      <c r="G72" s="124"/>
      <c r="H72" s="124"/>
      <c r="I72" s="124"/>
      <c r="J72" s="124"/>
      <c r="K72" s="124"/>
      <c r="L72" s="124"/>
      <c r="M72" s="124"/>
      <c r="N72" s="98"/>
      <c r="O72" s="98"/>
      <c r="P72" s="98"/>
      <c r="Q72" s="98"/>
      <c r="R72" s="135"/>
      <c r="S72" s="111"/>
      <c r="T72" s="112"/>
      <c r="U72" s="115"/>
      <c r="V72" s="99"/>
    </row>
    <row r="73" spans="1:22" ht="18" customHeight="1" x14ac:dyDescent="0.3">
      <c r="A73" s="213"/>
      <c r="B73" s="137">
        <v>4</v>
      </c>
      <c r="C73" s="138" t="s">
        <v>6</v>
      </c>
      <c r="D73" s="142"/>
      <c r="E73" s="124"/>
      <c r="F73" s="124"/>
      <c r="G73" s="124"/>
      <c r="H73" s="124"/>
      <c r="I73" s="124"/>
      <c r="J73" s="124"/>
      <c r="K73" s="124"/>
      <c r="L73" s="124"/>
      <c r="M73" s="124"/>
      <c r="N73" s="98"/>
      <c r="O73" s="98"/>
      <c r="P73" s="98"/>
      <c r="Q73" s="98"/>
      <c r="R73" s="135"/>
      <c r="S73" s="111"/>
      <c r="T73" s="116"/>
      <c r="U73" s="115"/>
      <c r="V73" s="99"/>
    </row>
    <row r="74" spans="1:22" ht="18" customHeight="1" x14ac:dyDescent="0.3">
      <c r="A74" s="213"/>
      <c r="B74" s="137"/>
      <c r="C74" s="138" t="s">
        <v>8</v>
      </c>
      <c r="D74" s="178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80"/>
      <c r="S74" s="117"/>
      <c r="T74" s="116"/>
      <c r="U74" s="115"/>
      <c r="V74" s="99"/>
    </row>
    <row r="75" spans="1:22" ht="18" customHeight="1" x14ac:dyDescent="0.3">
      <c r="A75" s="213"/>
      <c r="B75" s="137">
        <v>5</v>
      </c>
      <c r="C75" s="138" t="s">
        <v>7</v>
      </c>
      <c r="D75" s="142"/>
      <c r="E75" s="124"/>
      <c r="F75" s="124"/>
      <c r="G75" s="124"/>
      <c r="H75" s="124"/>
      <c r="I75" s="124"/>
      <c r="J75" s="124"/>
      <c r="K75" s="98"/>
      <c r="L75" s="98"/>
      <c r="M75" s="98"/>
      <c r="N75" s="98"/>
      <c r="O75" s="98"/>
      <c r="P75" s="98"/>
      <c r="Q75" s="98"/>
      <c r="R75" s="135"/>
      <c r="S75" s="117"/>
      <c r="T75" s="116"/>
      <c r="U75" s="115"/>
      <c r="V75" s="99"/>
    </row>
    <row r="76" spans="1:22" ht="18" customHeight="1" x14ac:dyDescent="0.3">
      <c r="A76" s="213"/>
      <c r="B76" s="137">
        <v>6</v>
      </c>
      <c r="C76" s="138" t="s">
        <v>9</v>
      </c>
      <c r="D76" s="142"/>
      <c r="E76" s="124"/>
      <c r="F76" s="124"/>
      <c r="G76" s="124"/>
      <c r="H76" s="124"/>
      <c r="I76" s="124"/>
      <c r="J76" s="124"/>
      <c r="K76" s="98"/>
      <c r="L76" s="98"/>
      <c r="M76" s="98"/>
      <c r="N76" s="98"/>
      <c r="O76" s="98"/>
      <c r="P76" s="98"/>
      <c r="Q76" s="98"/>
      <c r="R76" s="135"/>
      <c r="S76" s="117"/>
      <c r="T76" s="116"/>
      <c r="U76" s="115"/>
      <c r="V76" s="99"/>
    </row>
    <row r="77" spans="1:22" ht="18" customHeight="1" x14ac:dyDescent="0.3">
      <c r="A77" s="213"/>
      <c r="B77" s="137">
        <v>7</v>
      </c>
      <c r="C77" s="138" t="s">
        <v>11</v>
      </c>
      <c r="D77" s="12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135"/>
      <c r="S77" s="117"/>
      <c r="T77" s="118"/>
      <c r="U77" s="115"/>
      <c r="V77" s="99"/>
    </row>
    <row r="78" spans="1:22" ht="18" customHeight="1" x14ac:dyDescent="0.3">
      <c r="A78" s="213"/>
      <c r="B78" s="137"/>
      <c r="C78" s="138" t="s">
        <v>10</v>
      </c>
      <c r="D78" s="178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80"/>
      <c r="S78" s="117"/>
      <c r="T78" s="114"/>
      <c r="U78" s="115"/>
      <c r="V78" s="99"/>
    </row>
    <row r="79" spans="1:22" ht="18" customHeight="1" x14ac:dyDescent="0.3">
      <c r="A79" s="213"/>
      <c r="B79" s="137">
        <v>8</v>
      </c>
      <c r="C79" s="138" t="s">
        <v>12</v>
      </c>
      <c r="D79" s="12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135"/>
      <c r="S79" s="117"/>
      <c r="T79" s="116"/>
      <c r="U79" s="115"/>
      <c r="V79" s="99"/>
    </row>
    <row r="80" spans="1:22" ht="18" customHeight="1" x14ac:dyDescent="0.3">
      <c r="A80" s="213"/>
      <c r="B80" s="137">
        <v>9</v>
      </c>
      <c r="C80" s="138" t="s">
        <v>13</v>
      </c>
      <c r="D80" s="12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135"/>
      <c r="S80" s="117"/>
      <c r="T80" s="116"/>
      <c r="U80" s="115"/>
      <c r="V80" s="99"/>
    </row>
    <row r="81" spans="1:22" ht="18" customHeight="1" x14ac:dyDescent="0.3">
      <c r="A81" s="213"/>
      <c r="B81" s="137">
        <v>10</v>
      </c>
      <c r="C81" s="138" t="s">
        <v>14</v>
      </c>
      <c r="D81" s="12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135"/>
      <c r="S81" s="117"/>
      <c r="T81" s="116"/>
      <c r="U81" s="115"/>
      <c r="V81" s="99"/>
    </row>
    <row r="82" spans="1:22" ht="18" customHeight="1" x14ac:dyDescent="0.3">
      <c r="A82" s="213"/>
      <c r="B82" s="137"/>
      <c r="C82" s="138"/>
      <c r="D82" s="12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135"/>
      <c r="S82" s="117"/>
      <c r="T82" s="114"/>
      <c r="U82" s="115"/>
      <c r="V82" s="99"/>
    </row>
    <row r="83" spans="1:22" ht="18" customHeight="1" thickBot="1" x14ac:dyDescent="0.35">
      <c r="A83" s="213"/>
      <c r="B83" s="146"/>
      <c r="C83" s="148"/>
      <c r="D83" s="139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6"/>
      <c r="S83" s="117"/>
      <c r="T83" s="116"/>
      <c r="U83" s="115"/>
      <c r="V83" s="99"/>
    </row>
    <row r="84" spans="1:22" ht="17.100000000000001" customHeight="1" thickTop="1" x14ac:dyDescent="0.3">
      <c r="A84" s="78"/>
      <c r="B84" s="78"/>
      <c r="C84" s="78"/>
      <c r="D84" s="21" t="e">
        <f>#REF!</f>
        <v>#REF!</v>
      </c>
      <c r="E84" s="21" t="e">
        <f>#REF!</f>
        <v>#REF!</v>
      </c>
      <c r="F84" s="21" t="e">
        <f>#REF!</f>
        <v>#REF!</v>
      </c>
      <c r="G84" s="21" t="e">
        <f>#REF!</f>
        <v>#REF!</v>
      </c>
      <c r="H84" s="21" t="e">
        <f>#REF!</f>
        <v>#REF!</v>
      </c>
      <c r="I84" s="21" t="e">
        <f>#REF!</f>
        <v>#REF!</v>
      </c>
      <c r="J84" s="21" t="e">
        <f>#REF!</f>
        <v>#REF!</v>
      </c>
      <c r="K84" s="21" t="e">
        <f>#REF!</f>
        <v>#REF!</v>
      </c>
      <c r="L84" s="21" t="e">
        <f>#REF!</f>
        <v>#REF!</v>
      </c>
      <c r="M84" s="21" t="e">
        <f>#REF!</f>
        <v>#REF!</v>
      </c>
      <c r="N84" s="21" t="e">
        <f>#REF!</f>
        <v>#REF!</v>
      </c>
      <c r="O84" s="21" t="e">
        <f>#REF!</f>
        <v>#REF!</v>
      </c>
      <c r="P84" s="21" t="e">
        <f>#REF!</f>
        <v>#REF!</v>
      </c>
      <c r="Q84" s="21" t="e">
        <f>#REF!</f>
        <v>#REF!</v>
      </c>
      <c r="R84" s="21" t="e">
        <f>#REF!</f>
        <v>#REF!</v>
      </c>
      <c r="S84" s="117"/>
      <c r="T84" s="114"/>
      <c r="U84" s="115"/>
      <c r="V84" s="78"/>
    </row>
    <row r="85" spans="1:22" ht="17.100000000000001" customHeight="1" x14ac:dyDescent="0.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117"/>
      <c r="T85" s="116"/>
      <c r="U85" s="115"/>
      <c r="V85" s="78"/>
    </row>
    <row r="86" spans="1:22" s="3" customFormat="1" ht="23.4" x14ac:dyDescent="0.3">
      <c r="A86" s="79"/>
      <c r="B86" s="80" t="s">
        <v>25</v>
      </c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117"/>
      <c r="T86" s="116"/>
      <c r="U86" s="115"/>
      <c r="V86" s="80"/>
    </row>
    <row r="87" spans="1:22" s="3" customFormat="1" ht="23.4" x14ac:dyDescent="0.3">
      <c r="A87" s="79"/>
      <c r="B87" s="80" t="s">
        <v>26</v>
      </c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0"/>
      <c r="S87" s="117"/>
      <c r="T87" s="120" t="s">
        <v>214</v>
      </c>
      <c r="U87" s="115"/>
      <c r="V87" s="80"/>
    </row>
    <row r="88" spans="1:22" s="3" customFormat="1" ht="17.100000000000001" customHeight="1" x14ac:dyDescent="0.3">
      <c r="A88" s="79"/>
      <c r="B88" s="80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117"/>
      <c r="T88" s="114"/>
      <c r="U88" s="115"/>
      <c r="V88" s="80"/>
    </row>
    <row r="89" spans="1:22" s="3" customFormat="1" ht="17.100000000000001" customHeight="1" x14ac:dyDescent="0.3">
      <c r="A89" s="79"/>
      <c r="B89" s="80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0"/>
      <c r="S89" s="117"/>
      <c r="T89" s="119"/>
      <c r="U89" s="113"/>
      <c r="V89" s="80"/>
    </row>
    <row r="90" spans="1:22" s="3" customFormat="1" ht="17.100000000000001" customHeight="1" x14ac:dyDescent="0.3">
      <c r="A90" s="79"/>
      <c r="B90" s="8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70"/>
      <c r="T90" s="81"/>
      <c r="U90" s="80"/>
      <c r="V90" s="80"/>
    </row>
    <row r="91" spans="1:22" s="3" customFormat="1" ht="17.100000000000001" customHeight="1" x14ac:dyDescent="0.3">
      <c r="A91" s="79"/>
      <c r="B91" s="80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70"/>
      <c r="T91" s="81"/>
      <c r="U91" s="80"/>
      <c r="V91" s="80"/>
    </row>
    <row r="92" spans="1:22" s="3" customFormat="1" ht="23.4" x14ac:dyDescent="0.3">
      <c r="A92" s="79"/>
      <c r="B92" s="82" t="str">
        <f>HOME!F35</f>
        <v>Drs. Sodikin, M.Si</v>
      </c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70"/>
      <c r="T92" s="34" t="str">
        <f>HOME!F39</f>
        <v>Temy Yulianti, M.Pd</v>
      </c>
      <c r="U92" s="82"/>
      <c r="V92" s="82"/>
    </row>
    <row r="93" spans="1:22" s="3" customFormat="1" ht="23.4" x14ac:dyDescent="0.3">
      <c r="A93" s="79"/>
      <c r="B93" s="80" t="str">
        <f>"NIP. "&amp;HOME!F37&amp;""</f>
        <v>NIP. 196810212003121001</v>
      </c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70"/>
      <c r="T93" s="32" t="str">
        <f>"NIP. "&amp;HOME!F41&amp;""</f>
        <v>NIP. 197712102009122003</v>
      </c>
      <c r="U93" s="80"/>
      <c r="V93" s="80"/>
    </row>
    <row r="94" spans="1:22" ht="17.100000000000001" customHeight="1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T94" s="2"/>
      <c r="U94" s="2"/>
      <c r="V94" s="2"/>
    </row>
    <row r="95" spans="1:22" ht="17.100000000000001" customHeight="1" x14ac:dyDescent="0.3"/>
  </sheetData>
  <mergeCells count="37">
    <mergeCell ref="A70:A83"/>
    <mergeCell ref="D78:R78"/>
    <mergeCell ref="T11:T13"/>
    <mergeCell ref="A15:A25"/>
    <mergeCell ref="D18:R18"/>
    <mergeCell ref="D22:R22"/>
    <mergeCell ref="A28:A41"/>
    <mergeCell ref="A42:A55"/>
    <mergeCell ref="D50:R50"/>
    <mergeCell ref="A56:A69"/>
    <mergeCell ref="D64:R64"/>
    <mergeCell ref="I12:M12"/>
    <mergeCell ref="D11:R11"/>
    <mergeCell ref="A1:V1"/>
    <mergeCell ref="A2:V2"/>
    <mergeCell ref="N12:R12"/>
    <mergeCell ref="D12:H12"/>
    <mergeCell ref="A11:A13"/>
    <mergeCell ref="U11:U13"/>
    <mergeCell ref="S11:S13"/>
    <mergeCell ref="A3:V3"/>
    <mergeCell ref="A4:V4"/>
    <mergeCell ref="A5:V5"/>
    <mergeCell ref="A6:V6"/>
    <mergeCell ref="A8:V8"/>
    <mergeCell ref="A9:V9"/>
    <mergeCell ref="V11:V13"/>
    <mergeCell ref="S52:S53"/>
    <mergeCell ref="T52:T53"/>
    <mergeCell ref="U52:U53"/>
    <mergeCell ref="T71:U71"/>
    <mergeCell ref="D32:R32"/>
    <mergeCell ref="D36:R36"/>
    <mergeCell ref="D46:R46"/>
    <mergeCell ref="D60:R60"/>
    <mergeCell ref="D74:R74"/>
    <mergeCell ref="B11:C13"/>
  </mergeCells>
  <phoneticPr fontId="22" type="noConversion"/>
  <conditionalFormatting sqref="J19">
    <cfRule type="duplicateValues" dxfId="129" priority="112"/>
  </conditionalFormatting>
  <conditionalFormatting sqref="J20">
    <cfRule type="duplicateValues" dxfId="128" priority="111"/>
  </conditionalFormatting>
  <conditionalFormatting sqref="J16:M16">
    <cfRule type="duplicateValues" dxfId="127" priority="116"/>
  </conditionalFormatting>
  <conditionalFormatting sqref="J17:M17">
    <cfRule type="duplicateValues" dxfId="126" priority="115"/>
  </conditionalFormatting>
  <conditionalFormatting sqref="J33">
    <cfRule type="duplicateValues" dxfId="125" priority="86"/>
  </conditionalFormatting>
  <conditionalFormatting sqref="J34">
    <cfRule type="duplicateValues" dxfId="124" priority="85"/>
  </conditionalFormatting>
  <conditionalFormatting sqref="J30:M30">
    <cfRule type="duplicateValues" dxfId="123" priority="90"/>
  </conditionalFormatting>
  <conditionalFormatting sqref="J31:M31">
    <cfRule type="duplicateValues" dxfId="122" priority="89"/>
  </conditionalFormatting>
  <conditionalFormatting sqref="J47">
    <cfRule type="duplicateValues" dxfId="121" priority="60"/>
  </conditionalFormatting>
  <conditionalFormatting sqref="J48">
    <cfRule type="duplicateValues" dxfId="120" priority="59"/>
  </conditionalFormatting>
  <conditionalFormatting sqref="J44:M44">
    <cfRule type="duplicateValues" dxfId="119" priority="64"/>
  </conditionalFormatting>
  <conditionalFormatting sqref="J45:M45">
    <cfRule type="duplicateValues" dxfId="118" priority="63"/>
  </conditionalFormatting>
  <conditionalFormatting sqref="J61">
    <cfRule type="duplicateValues" dxfId="117" priority="34"/>
  </conditionalFormatting>
  <conditionalFormatting sqref="J62">
    <cfRule type="duplicateValues" dxfId="116" priority="33"/>
  </conditionalFormatting>
  <conditionalFormatting sqref="J58:M58">
    <cfRule type="duplicateValues" dxfId="115" priority="38"/>
  </conditionalFormatting>
  <conditionalFormatting sqref="J59:M59">
    <cfRule type="duplicateValues" dxfId="114" priority="37"/>
  </conditionalFormatting>
  <conditionalFormatting sqref="J75">
    <cfRule type="duplicateValues" dxfId="113" priority="8"/>
  </conditionalFormatting>
  <conditionalFormatting sqref="J76">
    <cfRule type="duplicateValues" dxfId="112" priority="7"/>
  </conditionalFormatting>
  <conditionalFormatting sqref="J72:M72">
    <cfRule type="duplicateValues" dxfId="111" priority="12"/>
  </conditionalFormatting>
  <conditionalFormatting sqref="J73:M73">
    <cfRule type="duplicateValues" dxfId="110" priority="11"/>
  </conditionalFormatting>
  <conditionalFormatting sqref="D16:I16">
    <cfRule type="duplicateValues" dxfId="109" priority="133"/>
  </conditionalFormatting>
  <conditionalFormatting sqref="D17:I17">
    <cfRule type="duplicateValues" dxfId="108" priority="135"/>
  </conditionalFormatting>
  <conditionalFormatting sqref="D19:I19">
    <cfRule type="duplicateValues" dxfId="107" priority="137"/>
  </conditionalFormatting>
  <conditionalFormatting sqref="D20:I20">
    <cfRule type="duplicateValues" dxfId="106" priority="139"/>
  </conditionalFormatting>
  <conditionalFormatting sqref="D14:M14">
    <cfRule type="duplicateValues" dxfId="105" priority="141"/>
  </conditionalFormatting>
  <conditionalFormatting sqref="D15:M15">
    <cfRule type="duplicateValues" dxfId="104" priority="143"/>
  </conditionalFormatting>
  <conditionalFormatting sqref="D30:I30">
    <cfRule type="duplicateValues" dxfId="103" priority="165"/>
  </conditionalFormatting>
  <conditionalFormatting sqref="D31:I31">
    <cfRule type="duplicateValues" dxfId="102" priority="167"/>
  </conditionalFormatting>
  <conditionalFormatting sqref="D33:I33">
    <cfRule type="duplicateValues" dxfId="101" priority="169"/>
  </conditionalFormatting>
  <conditionalFormatting sqref="D34:I34">
    <cfRule type="duplicateValues" dxfId="100" priority="171"/>
  </conditionalFormatting>
  <conditionalFormatting sqref="D28:M28">
    <cfRule type="duplicateValues" dxfId="99" priority="173"/>
  </conditionalFormatting>
  <conditionalFormatting sqref="D29:M29">
    <cfRule type="duplicateValues" dxfId="98" priority="175"/>
  </conditionalFormatting>
  <conditionalFormatting sqref="D44:I44">
    <cfRule type="duplicateValues" dxfId="97" priority="197"/>
  </conditionalFormatting>
  <conditionalFormatting sqref="D45:I45">
    <cfRule type="duplicateValues" dxfId="96" priority="199"/>
  </conditionalFormatting>
  <conditionalFormatting sqref="D47:I47">
    <cfRule type="duplicateValues" dxfId="95" priority="201"/>
  </conditionalFormatting>
  <conditionalFormatting sqref="D48:I48">
    <cfRule type="duplicateValues" dxfId="94" priority="203"/>
  </conditionalFormatting>
  <conditionalFormatting sqref="D42:M42">
    <cfRule type="duplicateValues" dxfId="93" priority="205"/>
  </conditionalFormatting>
  <conditionalFormatting sqref="D43:M43">
    <cfRule type="duplicateValues" dxfId="92" priority="207"/>
  </conditionalFormatting>
  <conditionalFormatting sqref="D58:I58">
    <cfRule type="duplicateValues" dxfId="91" priority="229"/>
  </conditionalFormatting>
  <conditionalFormatting sqref="D59:I59">
    <cfRule type="duplicateValues" dxfId="90" priority="231"/>
  </conditionalFormatting>
  <conditionalFormatting sqref="D61:I61">
    <cfRule type="duplicateValues" dxfId="89" priority="233"/>
  </conditionalFormatting>
  <conditionalFormatting sqref="D62:I62">
    <cfRule type="duplicateValues" dxfId="88" priority="235"/>
  </conditionalFormatting>
  <conditionalFormatting sqref="D56:M56">
    <cfRule type="duplicateValues" dxfId="87" priority="237"/>
  </conditionalFormatting>
  <conditionalFormatting sqref="D57:M57">
    <cfRule type="duplicateValues" dxfId="86" priority="239"/>
  </conditionalFormatting>
  <conditionalFormatting sqref="D72:I72">
    <cfRule type="duplicateValues" dxfId="85" priority="261"/>
  </conditionalFormatting>
  <conditionalFormatting sqref="D73:I73">
    <cfRule type="duplicateValues" dxfId="84" priority="263"/>
  </conditionalFormatting>
  <conditionalFormatting sqref="D75:I75">
    <cfRule type="duplicateValues" dxfId="83" priority="265"/>
  </conditionalFormatting>
  <conditionalFormatting sqref="D76:I76">
    <cfRule type="duplicateValues" dxfId="82" priority="267"/>
  </conditionalFormatting>
  <conditionalFormatting sqref="D70:M70">
    <cfRule type="duplicateValues" dxfId="81" priority="269"/>
  </conditionalFormatting>
  <conditionalFormatting sqref="D71:M71">
    <cfRule type="duplicateValues" dxfId="80" priority="271"/>
  </conditionalFormatting>
  <conditionalFormatting sqref="K19:R19">
    <cfRule type="duplicateValues" dxfId="79" priority="429"/>
  </conditionalFormatting>
  <conditionalFormatting sqref="K20:R20">
    <cfRule type="duplicateValues" dxfId="78" priority="430"/>
  </conditionalFormatting>
  <conditionalFormatting sqref="N14:R14">
    <cfRule type="duplicateValues" dxfId="77" priority="431"/>
  </conditionalFormatting>
  <conditionalFormatting sqref="N15:R15">
    <cfRule type="duplicateValues" dxfId="76" priority="432"/>
  </conditionalFormatting>
  <conditionalFormatting sqref="N16:R16">
    <cfRule type="duplicateValues" dxfId="75" priority="433"/>
  </conditionalFormatting>
  <conditionalFormatting sqref="N17:R17">
    <cfRule type="duplicateValues" dxfId="74" priority="434"/>
  </conditionalFormatting>
  <conditionalFormatting sqref="K33:R33">
    <cfRule type="duplicateValues" dxfId="73" priority="435"/>
  </conditionalFormatting>
  <conditionalFormatting sqref="K34:R34">
    <cfRule type="duplicateValues" dxfId="72" priority="436"/>
  </conditionalFormatting>
  <conditionalFormatting sqref="N28:R28">
    <cfRule type="duplicateValues" dxfId="71" priority="437"/>
  </conditionalFormatting>
  <conditionalFormatting sqref="N29:R29">
    <cfRule type="duplicateValues" dxfId="70" priority="438"/>
  </conditionalFormatting>
  <conditionalFormatting sqref="N30:R30">
    <cfRule type="duplicateValues" dxfId="69" priority="439"/>
  </conditionalFormatting>
  <conditionalFormatting sqref="N31:R31">
    <cfRule type="duplicateValues" dxfId="68" priority="440"/>
  </conditionalFormatting>
  <conditionalFormatting sqref="K47:R47">
    <cfRule type="duplicateValues" dxfId="67" priority="441"/>
  </conditionalFormatting>
  <conditionalFormatting sqref="K48:R48">
    <cfRule type="duplicateValues" dxfId="66" priority="442"/>
  </conditionalFormatting>
  <conditionalFormatting sqref="N42:R42">
    <cfRule type="duplicateValues" dxfId="65" priority="443"/>
  </conditionalFormatting>
  <conditionalFormatting sqref="N43:R43">
    <cfRule type="duplicateValues" dxfId="64" priority="444"/>
  </conditionalFormatting>
  <conditionalFormatting sqref="N44:R44">
    <cfRule type="duplicateValues" dxfId="63" priority="445"/>
  </conditionalFormatting>
  <conditionalFormatting sqref="N45:R45">
    <cfRule type="duplicateValues" dxfId="62" priority="446"/>
  </conditionalFormatting>
  <conditionalFormatting sqref="K61:R61">
    <cfRule type="duplicateValues" dxfId="61" priority="447"/>
  </conditionalFormatting>
  <conditionalFormatting sqref="K62:R62">
    <cfRule type="duplicateValues" dxfId="60" priority="448"/>
  </conditionalFormatting>
  <conditionalFormatting sqref="N56:R56">
    <cfRule type="duplicateValues" dxfId="59" priority="449"/>
  </conditionalFormatting>
  <conditionalFormatting sqref="N57:R57">
    <cfRule type="duplicateValues" dxfId="58" priority="450"/>
  </conditionalFormatting>
  <conditionalFormatting sqref="N58:R58">
    <cfRule type="duplicateValues" dxfId="57" priority="451"/>
  </conditionalFormatting>
  <conditionalFormatting sqref="N59:R59">
    <cfRule type="duplicateValues" dxfId="56" priority="452"/>
  </conditionalFormatting>
  <conditionalFormatting sqref="K75:R75">
    <cfRule type="duplicateValues" dxfId="55" priority="453"/>
  </conditionalFormatting>
  <conditionalFormatting sqref="K76:R76">
    <cfRule type="duplicateValues" dxfId="54" priority="454"/>
  </conditionalFormatting>
  <conditionalFormatting sqref="N70:R70">
    <cfRule type="duplicateValues" dxfId="53" priority="455"/>
  </conditionalFormatting>
  <conditionalFormatting sqref="N71:R71">
    <cfRule type="duplicateValues" dxfId="52" priority="456"/>
  </conditionalFormatting>
  <conditionalFormatting sqref="N72:R72">
    <cfRule type="duplicateValues" dxfId="51" priority="457"/>
  </conditionalFormatting>
  <conditionalFormatting sqref="N73:R73">
    <cfRule type="duplicateValues" dxfId="50" priority="458"/>
  </conditionalFormatting>
  <conditionalFormatting sqref="D24:R24">
    <cfRule type="duplicateValues" dxfId="49" priority="459"/>
  </conditionalFormatting>
  <conditionalFormatting sqref="D21:R21">
    <cfRule type="duplicateValues" dxfId="48" priority="460"/>
  </conditionalFormatting>
  <conditionalFormatting sqref="D23:R23">
    <cfRule type="duplicateValues" dxfId="47" priority="461"/>
  </conditionalFormatting>
  <conditionalFormatting sqref="D25:R27">
    <cfRule type="duplicateValues" dxfId="46" priority="462"/>
  </conditionalFormatting>
  <conditionalFormatting sqref="D14:R14">
    <cfRule type="duplicateValues" dxfId="45" priority="463"/>
  </conditionalFormatting>
  <conditionalFormatting sqref="D15:R15">
    <cfRule type="duplicateValues" dxfId="44" priority="464"/>
  </conditionalFormatting>
  <conditionalFormatting sqref="D16:R16">
    <cfRule type="duplicateValues" dxfId="43" priority="465"/>
  </conditionalFormatting>
  <conditionalFormatting sqref="D17:R17">
    <cfRule type="duplicateValues" dxfId="42" priority="466"/>
  </conditionalFormatting>
  <conditionalFormatting sqref="D19:R19">
    <cfRule type="duplicateValues" dxfId="41" priority="467"/>
  </conditionalFormatting>
  <conditionalFormatting sqref="D20:R20">
    <cfRule type="duplicateValues" dxfId="40" priority="468"/>
  </conditionalFormatting>
  <conditionalFormatting sqref="D38:R38">
    <cfRule type="duplicateValues" dxfId="39" priority="469"/>
  </conditionalFormatting>
  <conditionalFormatting sqref="D35:R35">
    <cfRule type="duplicateValues" dxfId="38" priority="470"/>
  </conditionalFormatting>
  <conditionalFormatting sqref="D37:R37">
    <cfRule type="duplicateValues" dxfId="37" priority="471"/>
  </conditionalFormatting>
  <conditionalFormatting sqref="D39:R41">
    <cfRule type="duplicateValues" dxfId="36" priority="472"/>
  </conditionalFormatting>
  <conditionalFormatting sqref="D28:R28">
    <cfRule type="duplicateValues" dxfId="35" priority="473"/>
  </conditionalFormatting>
  <conditionalFormatting sqref="D29:R29">
    <cfRule type="duplicateValues" dxfId="34" priority="474"/>
  </conditionalFormatting>
  <conditionalFormatting sqref="D30:R30">
    <cfRule type="duplicateValues" dxfId="33" priority="475"/>
  </conditionalFormatting>
  <conditionalFormatting sqref="D31:R31">
    <cfRule type="duplicateValues" dxfId="32" priority="476"/>
  </conditionalFormatting>
  <conditionalFormatting sqref="D33:R33">
    <cfRule type="duplicateValues" dxfId="31" priority="477"/>
  </conditionalFormatting>
  <conditionalFormatting sqref="D34:R34">
    <cfRule type="duplicateValues" dxfId="30" priority="478"/>
  </conditionalFormatting>
  <conditionalFormatting sqref="D52:R52">
    <cfRule type="duplicateValues" dxfId="29" priority="479"/>
  </conditionalFormatting>
  <conditionalFormatting sqref="D49:R49">
    <cfRule type="duplicateValues" dxfId="28" priority="480"/>
  </conditionalFormatting>
  <conditionalFormatting sqref="D51:R51">
    <cfRule type="duplicateValues" dxfId="27" priority="481"/>
  </conditionalFormatting>
  <conditionalFormatting sqref="D53:R55">
    <cfRule type="duplicateValues" dxfId="26" priority="482"/>
  </conditionalFormatting>
  <conditionalFormatting sqref="D42:R42">
    <cfRule type="duplicateValues" dxfId="25" priority="483"/>
  </conditionalFormatting>
  <conditionalFormatting sqref="D43:R43">
    <cfRule type="duplicateValues" dxfId="24" priority="484"/>
  </conditionalFormatting>
  <conditionalFormatting sqref="D44:R44">
    <cfRule type="duplicateValues" dxfId="23" priority="485"/>
  </conditionalFormatting>
  <conditionalFormatting sqref="D45:R45">
    <cfRule type="duplicateValues" dxfId="22" priority="486"/>
  </conditionalFormatting>
  <conditionalFormatting sqref="D47:R47">
    <cfRule type="duplicateValues" dxfId="21" priority="487"/>
  </conditionalFormatting>
  <conditionalFormatting sqref="D48:R48">
    <cfRule type="duplicateValues" dxfId="20" priority="488"/>
  </conditionalFormatting>
  <conditionalFormatting sqref="D66:R66">
    <cfRule type="duplicateValues" dxfId="19" priority="489"/>
  </conditionalFormatting>
  <conditionalFormatting sqref="D63:R63">
    <cfRule type="duplicateValues" dxfId="18" priority="490"/>
  </conditionalFormatting>
  <conditionalFormatting sqref="D65:R65">
    <cfRule type="duplicateValues" dxfId="17" priority="491"/>
  </conditionalFormatting>
  <conditionalFormatting sqref="D67:R69">
    <cfRule type="duplicateValues" dxfId="16" priority="492"/>
  </conditionalFormatting>
  <conditionalFormatting sqref="D56:R56">
    <cfRule type="duplicateValues" dxfId="15" priority="493"/>
  </conditionalFormatting>
  <conditionalFormatting sqref="D57:R57">
    <cfRule type="duplicateValues" dxfId="14" priority="494"/>
  </conditionalFormatting>
  <conditionalFormatting sqref="D58:R58">
    <cfRule type="duplicateValues" dxfId="13" priority="495"/>
  </conditionalFormatting>
  <conditionalFormatting sqref="D59:R59">
    <cfRule type="duplicateValues" dxfId="12" priority="496"/>
  </conditionalFormatting>
  <conditionalFormatting sqref="D61:R61">
    <cfRule type="duplicateValues" dxfId="11" priority="497"/>
  </conditionalFormatting>
  <conditionalFormatting sqref="D62:R62">
    <cfRule type="duplicateValues" dxfId="10" priority="498"/>
  </conditionalFormatting>
  <conditionalFormatting sqref="D80:R80">
    <cfRule type="duplicateValues" dxfId="9" priority="499"/>
  </conditionalFormatting>
  <conditionalFormatting sqref="D77:R77">
    <cfRule type="duplicateValues" dxfId="8" priority="500"/>
  </conditionalFormatting>
  <conditionalFormatting sqref="D79:R79">
    <cfRule type="duplicateValues" dxfId="7" priority="501"/>
  </conditionalFormatting>
  <conditionalFormatting sqref="D81:R83">
    <cfRule type="duplicateValues" dxfId="6" priority="502"/>
  </conditionalFormatting>
  <conditionalFormatting sqref="D70:R70">
    <cfRule type="duplicateValues" dxfId="5" priority="503"/>
  </conditionalFormatting>
  <conditionalFormatting sqref="D71:R71">
    <cfRule type="duplicateValues" dxfId="4" priority="504"/>
  </conditionalFormatting>
  <conditionalFormatting sqref="D72:R72">
    <cfRule type="duplicateValues" dxfId="3" priority="505"/>
  </conditionalFormatting>
  <conditionalFormatting sqref="D73:R73">
    <cfRule type="duplicateValues" dxfId="2" priority="506"/>
  </conditionalFormatting>
  <conditionalFormatting sqref="D75:R75">
    <cfRule type="duplicateValues" dxfId="1" priority="507"/>
  </conditionalFormatting>
  <conditionalFormatting sqref="D76:R76">
    <cfRule type="duplicateValues" dxfId="0" priority="508"/>
  </conditionalFormatting>
  <printOptions horizontalCentered="1"/>
  <pageMargins left="0.19685039370078741" right="0.19685039370078741" top="0.59055118110236227" bottom="0.19685039370078741" header="0.31496062992125984" footer="0.31496062992125984"/>
  <pageSetup paperSize="5" scale="33" orientation="portrait" horizontalDpi="4294967293" r:id="rId1"/>
  <colBreaks count="1" manualBreakCount="1">
    <brk id="23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60"/>
  <sheetViews>
    <sheetView view="pageBreakPreview" zoomScale="70" zoomScaleNormal="55" zoomScaleSheetLayoutView="70" workbookViewId="0">
      <selection sqref="A1:K1"/>
    </sheetView>
  </sheetViews>
  <sheetFormatPr defaultColWidth="9.109375" defaultRowHeight="15.6" x14ac:dyDescent="0.3"/>
  <cols>
    <col min="1" max="2" width="7.6640625" style="4" customWidth="1"/>
    <col min="3" max="3" width="18.6640625" style="4" customWidth="1"/>
    <col min="4" max="4" width="15.6640625" style="4" customWidth="1"/>
    <col min="5" max="5" width="33.6640625" style="4" customWidth="1"/>
    <col min="6" max="6" width="3.6640625" style="4" customWidth="1"/>
    <col min="7" max="8" width="7.6640625" style="4" customWidth="1"/>
    <col min="9" max="9" width="18.6640625" style="4" customWidth="1"/>
    <col min="10" max="10" width="15.6640625" style="4" customWidth="1"/>
    <col min="11" max="11" width="33.6640625" style="4" customWidth="1"/>
    <col min="12" max="16384" width="9.109375" style="4"/>
  </cols>
  <sheetData>
    <row r="1" spans="1:11" ht="23.4" x14ac:dyDescent="0.3">
      <c r="A1" s="229" t="str">
        <f>'JADWAL UMUM'!A1</f>
        <v>KEMENTERIAN AGAMA REPUBLIK INDONESIA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</row>
    <row r="2" spans="1:11" ht="23.4" x14ac:dyDescent="0.3">
      <c r="A2" s="229" t="str">
        <f>'JADWAL UMUM'!A2</f>
        <v>KANTOR KEMENTERIAN AGAMA KOTA JAKARTA TIMUR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</row>
    <row r="3" spans="1:11" ht="36.6" x14ac:dyDescent="0.3">
      <c r="A3" s="203" t="str">
        <f>'JADWAL UMUM'!A3</f>
        <v>MAN 20 JAKARTA TIMUR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</row>
    <row r="4" spans="1:11" ht="23.4" x14ac:dyDescent="0.3">
      <c r="A4" s="230" t="str">
        <f>'JADWAL UMUM'!A4</f>
        <v>Jl. DR. KRT. Radjiman Widyadiningrat RT 08 RW 07 Jatinegara Cakung</v>
      </c>
      <c r="B4" s="230"/>
      <c r="C4" s="230"/>
      <c r="D4" s="230"/>
      <c r="E4" s="230"/>
      <c r="F4" s="230"/>
      <c r="G4" s="230"/>
      <c r="H4" s="230"/>
      <c r="I4" s="230"/>
      <c r="J4" s="230"/>
      <c r="K4" s="230"/>
    </row>
    <row r="5" spans="1:11" ht="21" x14ac:dyDescent="0.3">
      <c r="A5" s="231" t="str">
        <f>'JADWAL UMUM'!A5</f>
        <v>E-Mail: man20jktofficial@gmail.com Website: https://man20jakarta.sch.id/</v>
      </c>
      <c r="B5" s="231"/>
      <c r="C5" s="231"/>
      <c r="D5" s="231"/>
      <c r="E5" s="231"/>
      <c r="F5" s="231"/>
      <c r="G5" s="231"/>
      <c r="H5" s="231"/>
      <c r="I5" s="231"/>
      <c r="J5" s="231"/>
      <c r="K5" s="231"/>
    </row>
    <row r="6" spans="1:11" ht="6.6" customHeight="1" thickBot="1" x14ac:dyDescent="0.35">
      <c r="A6" s="228"/>
      <c r="B6" s="228"/>
      <c r="C6" s="228"/>
      <c r="D6" s="228"/>
      <c r="E6" s="228"/>
      <c r="F6" s="228"/>
      <c r="G6" s="228"/>
      <c r="H6" s="228"/>
      <c r="I6" s="228"/>
      <c r="J6" s="228"/>
      <c r="K6" s="228"/>
    </row>
    <row r="7" spans="1:11" ht="7.2" customHeight="1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</row>
    <row r="8" spans="1:11" ht="23.4" x14ac:dyDescent="0.3">
      <c r="A8" s="229" t="str">
        <f>'JADWAL UMUM'!A8:V8</f>
        <v>JADWAL PELAJARAN SEMESTER GANJIL</v>
      </c>
      <c r="B8" s="229"/>
      <c r="C8" s="229"/>
      <c r="D8" s="229"/>
      <c r="E8" s="229"/>
      <c r="F8" s="229"/>
      <c r="G8" s="229"/>
      <c r="H8" s="229"/>
      <c r="I8" s="229"/>
      <c r="J8" s="229"/>
      <c r="K8" s="229"/>
    </row>
    <row r="9" spans="1:11" ht="23.4" x14ac:dyDescent="0.3">
      <c r="A9" s="229" t="str">
        <f>'JADWAL UMUM'!A9:V9</f>
        <v>TAHUN AJARAN 2026 - 2027</v>
      </c>
      <c r="B9" s="229"/>
      <c r="C9" s="229"/>
      <c r="D9" s="229"/>
      <c r="E9" s="229"/>
      <c r="F9" s="229"/>
      <c r="G9" s="229"/>
      <c r="H9" s="229"/>
      <c r="I9" s="229"/>
      <c r="J9" s="229"/>
      <c r="K9" s="229"/>
    </row>
    <row r="10" spans="1:11" ht="13.95" customHeight="1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</row>
    <row r="11" spans="1:11" ht="20.25" customHeight="1" x14ac:dyDescent="0.3">
      <c r="A11" s="219" t="s">
        <v>23</v>
      </c>
      <c r="B11" s="219"/>
      <c r="C11" s="219"/>
      <c r="D11" s="71" t="s">
        <v>32</v>
      </c>
      <c r="E11" s="72"/>
      <c r="F11" s="23"/>
      <c r="G11" s="22"/>
      <c r="H11" s="22"/>
      <c r="I11" s="73"/>
      <c r="J11" s="23"/>
      <c r="K11" s="23"/>
    </row>
    <row r="12" spans="1:11" ht="20.25" customHeight="1" x14ac:dyDescent="0.3">
      <c r="A12" s="219" t="s">
        <v>24</v>
      </c>
      <c r="B12" s="219"/>
      <c r="C12" s="219"/>
      <c r="D12" s="74" t="e">
        <f>VLOOKUP(KODEGURU,DATAGURU,2)</f>
        <v>#N/A</v>
      </c>
      <c r="E12" s="69"/>
      <c r="F12" s="23"/>
      <c r="G12" s="22"/>
      <c r="H12" s="22"/>
      <c r="I12" s="75"/>
      <c r="J12" s="23"/>
      <c r="K12" s="23"/>
    </row>
    <row r="13" spans="1:11" ht="20.25" customHeight="1" x14ac:dyDescent="0.3">
      <c r="A13" s="219" t="s">
        <v>61</v>
      </c>
      <c r="B13" s="219"/>
      <c r="C13" s="219"/>
      <c r="D13" s="76" t="str">
        <f>COUNTA(D18:D52,J17:J52)-COUNTBLANK(D18:D52)-COUNTBLANK(J17:J52)-12&amp;" Jam"</f>
        <v>0 Jam</v>
      </c>
      <c r="E13" s="69"/>
      <c r="F13" s="23"/>
      <c r="G13" s="22"/>
      <c r="H13" s="22"/>
      <c r="I13" s="75"/>
      <c r="J13" s="23"/>
      <c r="K13" s="23"/>
    </row>
    <row r="14" spans="1:11" ht="20.25" customHeight="1" thickBot="1" x14ac:dyDescent="0.3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</row>
    <row r="15" spans="1:11" ht="24.9" customHeight="1" thickTop="1" thickBot="1" x14ac:dyDescent="0.35">
      <c r="A15" s="220" t="s">
        <v>0</v>
      </c>
      <c r="B15" s="223" t="s">
        <v>28</v>
      </c>
      <c r="C15" s="224"/>
      <c r="D15" s="224" t="s">
        <v>27</v>
      </c>
      <c r="E15" s="226" t="s">
        <v>15</v>
      </c>
      <c r="F15" s="69"/>
      <c r="G15" s="220" t="s">
        <v>0</v>
      </c>
      <c r="H15" s="223" t="s">
        <v>28</v>
      </c>
      <c r="I15" s="224"/>
      <c r="J15" s="224" t="s">
        <v>27</v>
      </c>
      <c r="K15" s="226" t="s">
        <v>15</v>
      </c>
    </row>
    <row r="16" spans="1:11" ht="50.1" customHeight="1" thickTop="1" thickBot="1" x14ac:dyDescent="0.35">
      <c r="A16" s="220"/>
      <c r="B16" s="64" t="s">
        <v>2</v>
      </c>
      <c r="C16" s="65" t="s">
        <v>1</v>
      </c>
      <c r="D16" s="225"/>
      <c r="E16" s="227"/>
      <c r="F16" s="69"/>
      <c r="G16" s="220"/>
      <c r="H16" s="64" t="s">
        <v>2</v>
      </c>
      <c r="I16" s="65" t="s">
        <v>1</v>
      </c>
      <c r="J16" s="225"/>
      <c r="K16" s="227"/>
    </row>
    <row r="17" spans="1:11" ht="23.1" customHeight="1" thickTop="1" thickBot="1" x14ac:dyDescent="0.35">
      <c r="A17" s="216" t="s">
        <v>17</v>
      </c>
      <c r="B17" s="5">
        <v>1</v>
      </c>
      <c r="C17" s="12" t="e">
        <f>'JADWAL UMUM'!#REF!</f>
        <v>#REF!</v>
      </c>
      <c r="D17" s="221" t="e">
        <f>_xlfn.SINGLE('JADWAL UMUM'!#REF!)</f>
        <v>#REF!</v>
      </c>
      <c r="E17" s="222"/>
      <c r="F17" s="23"/>
      <c r="G17" s="216" t="s">
        <v>21</v>
      </c>
      <c r="H17" s="5">
        <f>'JADWAL UMUM'!B56</f>
        <v>1</v>
      </c>
      <c r="I17" s="12" t="e">
        <f>'JADWAL UMUM'!#REF!</f>
        <v>#REF!</v>
      </c>
      <c r="J17" s="5" t="str">
        <f>IFERROR(HLOOKUP(KODEGURU,KAMIS1A:AKHIR,ROWS(KAMIS1A:AKHIR),0),"")</f>
        <v/>
      </c>
      <c r="K17" s="19" t="str">
        <f>IFERROR(VLOOKUP(HLOOKUP(KODEGURU,KAMIS1A:KAMIS1B,2,0),DATAMAPEL,2,0),"")</f>
        <v/>
      </c>
    </row>
    <row r="18" spans="1:11" ht="23.1" customHeight="1" thickTop="1" thickBot="1" x14ac:dyDescent="0.35">
      <c r="A18" s="216"/>
      <c r="B18" s="7">
        <v>2</v>
      </c>
      <c r="C18" s="13" t="str">
        <f>'JADWAL UMUM'!$C$15</f>
        <v>07:15 - 08:00</v>
      </c>
      <c r="D18" s="7" t="str">
        <f>IFERROR(HLOOKUP(KODEGURU,SENIN1A:AKHIR,ROWS(SENIN1A:AKHIR),0),"")</f>
        <v/>
      </c>
      <c r="E18" s="18" t="str">
        <f>IFERROR(VLOOKUP(HLOOKUP(KODEGURU,SENIN1A:SENIN1B,2,0),DATAMAPEL,2,0),"")</f>
        <v/>
      </c>
      <c r="F18" s="23"/>
      <c r="G18" s="216"/>
      <c r="H18" s="7">
        <f>'JADWAL UMUM'!B58</f>
        <v>3</v>
      </c>
      <c r="I18" s="13" t="str">
        <f>'JADWAL UMUM'!$C$15</f>
        <v>07:15 - 08:00</v>
      </c>
      <c r="J18" s="7" t="str">
        <f>IFERROR(HLOOKUP(KODEGURU,KAMIS2A:AKHIR,ROWS(KAMIS2A:AKHIR),0),"")</f>
        <v/>
      </c>
      <c r="K18" s="18" t="str">
        <f>IFERROR(VLOOKUP(HLOOKUP(KODEGURU,KAMIS2A:KAMIS2B,2,0),DATAMAPEL,2,0),"")</f>
        <v/>
      </c>
    </row>
    <row r="19" spans="1:11" ht="23.1" customHeight="1" thickTop="1" thickBot="1" x14ac:dyDescent="0.35">
      <c r="A19" s="216"/>
      <c r="B19" s="7">
        <v>3</v>
      </c>
      <c r="C19" s="13" t="str">
        <f>'JADWAL UMUM'!$C$16</f>
        <v>08:00 - 08:45</v>
      </c>
      <c r="D19" s="7" t="str">
        <f>IFERROR(HLOOKUP(KODEGURU,SENIN2A:AKHIR,ROWS(SENIN2A:AKHIR),0),"")</f>
        <v/>
      </c>
      <c r="E19" s="18" t="str">
        <f>IFERROR(VLOOKUP(HLOOKUP(KODEGURU,SENIN2A:SENIN2B,2,0),DATAMAPEL,2,0),"")</f>
        <v/>
      </c>
      <c r="F19" s="23"/>
      <c r="G19" s="216"/>
      <c r="H19" s="7">
        <f>'JADWAL UMUM'!B60</f>
        <v>0</v>
      </c>
      <c r="I19" s="13" t="str">
        <f>'JADWAL UMUM'!$C$16</f>
        <v>08:00 - 08:45</v>
      </c>
      <c r="J19" s="7" t="str">
        <f>IFERROR(HLOOKUP(KODEGURU,KAMIS3A:AKHIR,ROWS(KAMIS3A:AKHIR),0),"")</f>
        <v/>
      </c>
      <c r="K19" s="18" t="str">
        <f>IFERROR(VLOOKUP(HLOOKUP(KODEGURU,KAMIS3A:KAMIS3B,2,0),DATAMAPEL,2,0),"")</f>
        <v/>
      </c>
    </row>
    <row r="20" spans="1:11" ht="23.1" customHeight="1" thickTop="1" thickBot="1" x14ac:dyDescent="0.35">
      <c r="A20" s="216"/>
      <c r="B20" s="7">
        <v>4</v>
      </c>
      <c r="C20" s="13" t="str">
        <f>'JADWAL UMUM'!$C$17</f>
        <v>08:45 - 09:30</v>
      </c>
      <c r="D20" s="7" t="str">
        <f>IFERROR(HLOOKUP(KODEGURU,SENIN3A:AKHIR,ROWS(SENIN3A:AKHIR),0),"")</f>
        <v/>
      </c>
      <c r="E20" s="18" t="str">
        <f>IFERROR(VLOOKUP(HLOOKUP(KODEGURU,SENIN3A:SENIN3B,2,0),DATAMAPEL,2,0),"")</f>
        <v/>
      </c>
      <c r="F20" s="23"/>
      <c r="G20" s="216"/>
      <c r="H20" s="7">
        <f>'JADWAL UMUM'!B62</f>
        <v>6</v>
      </c>
      <c r="I20" s="13" t="str">
        <f>'JADWAL UMUM'!$C$17</f>
        <v>08:45 - 09:30</v>
      </c>
      <c r="J20" s="7" t="str">
        <f>IFERROR(HLOOKUP(KODEGURU,KAMIS4A:AKHIR,ROWS(KAMIS4A:AKHIR),0),"")</f>
        <v/>
      </c>
      <c r="K20" s="18" t="str">
        <f>IFERROR(VLOOKUP(HLOOKUP(KODEGURU,KAMIS4A:KAMIS4B,2,0),DATAMAPEL,2,0),"")</f>
        <v/>
      </c>
    </row>
    <row r="21" spans="1:11" ht="23.1" customHeight="1" thickTop="1" thickBot="1" x14ac:dyDescent="0.35">
      <c r="A21" s="216"/>
      <c r="B21" s="7"/>
      <c r="C21" s="13" t="str">
        <f>'JADWAL UMUM'!$C$18</f>
        <v>09:30 - 09:50</v>
      </c>
      <c r="D21" s="217" t="s">
        <v>18</v>
      </c>
      <c r="E21" s="218"/>
      <c r="F21" s="23"/>
      <c r="G21" s="216"/>
      <c r="H21" s="7"/>
      <c r="I21" s="13" t="str">
        <f>'JADWAL UMUM'!$C$18</f>
        <v>09:30 - 09:50</v>
      </c>
      <c r="J21" s="217" t="s">
        <v>18</v>
      </c>
      <c r="K21" s="218"/>
    </row>
    <row r="22" spans="1:11" ht="23.1" customHeight="1" thickTop="1" thickBot="1" x14ac:dyDescent="0.35">
      <c r="A22" s="216"/>
      <c r="B22" s="7">
        <v>5</v>
      </c>
      <c r="C22" s="13" t="str">
        <f>'JADWAL UMUM'!$C$19</f>
        <v>09:50 - 10:35</v>
      </c>
      <c r="D22" s="7" t="str">
        <f>IFERROR(HLOOKUP(KODEGURU,SENIN4A:AKHIR,ROWS(SENIN4A:AKHIR),0),"")</f>
        <v/>
      </c>
      <c r="E22" s="18" t="str">
        <f>IFERROR(VLOOKUP(HLOOKUP(KODEGURU,SENIN4A:SENIN4B,2,0),DATAMAPEL,2,0),"")</f>
        <v/>
      </c>
      <c r="F22" s="23"/>
      <c r="G22" s="216"/>
      <c r="H22" s="7">
        <f>'JADWAL UMUM'!B65</f>
        <v>8</v>
      </c>
      <c r="I22" s="13" t="str">
        <f>'JADWAL UMUM'!$C$19</f>
        <v>09:50 - 10:35</v>
      </c>
      <c r="J22" s="7" t="str">
        <f>IFERROR(HLOOKUP(KODEGURU,KAMIS5A:AKHIR,ROWS(KAMIS5A:AKHIR),0),"")</f>
        <v/>
      </c>
      <c r="K22" s="18" t="str">
        <f>IFERROR(VLOOKUP(HLOOKUP(KODEGURU,KAMIS5A:KAMIS5B,2,0),DATAMAPEL,2,0),"")</f>
        <v/>
      </c>
    </row>
    <row r="23" spans="1:11" ht="23.1" customHeight="1" thickTop="1" thickBot="1" x14ac:dyDescent="0.35">
      <c r="A23" s="216"/>
      <c r="B23" s="7">
        <v>6</v>
      </c>
      <c r="C23" s="13" t="str">
        <f>'JADWAL UMUM'!$C$20</f>
        <v>10:35 - 11:20</v>
      </c>
      <c r="D23" s="7" t="str">
        <f>IFERROR(HLOOKUP(KODEGURU,SENIN5A:AKHIR,ROWS(SENIN5A:AKHIR),0),"")</f>
        <v/>
      </c>
      <c r="E23" s="18" t="str">
        <f>IFERROR(VLOOKUP(HLOOKUP(KODEGURU,SENIN5A:SENIN5B,2,0),DATAMAPEL,2,0),"")</f>
        <v/>
      </c>
      <c r="F23" s="23"/>
      <c r="G23" s="216"/>
      <c r="H23" s="7">
        <f>'JADWAL UMUM'!B67</f>
        <v>10</v>
      </c>
      <c r="I23" s="13" t="str">
        <f>'JADWAL UMUM'!$C$20</f>
        <v>10:35 - 11:20</v>
      </c>
      <c r="J23" s="7" t="str">
        <f>IFERROR(HLOOKUP(KODEGURU,KAMIS6A:AKHIR,ROWS(KAMIS6A:AKHIR),0),"")</f>
        <v/>
      </c>
      <c r="K23" s="18" t="str">
        <f>IFERROR(VLOOKUP(HLOOKUP(KODEGURU,KAMIS6A:KAMIS6B,2,0),DATAMAPEL,2,0),"")</f>
        <v/>
      </c>
    </row>
    <row r="24" spans="1:11" ht="23.1" customHeight="1" thickTop="1" thickBot="1" x14ac:dyDescent="0.35">
      <c r="A24" s="216"/>
      <c r="B24" s="7"/>
      <c r="C24" s="13" t="str">
        <f>'JADWAL UMUM'!$C$22</f>
        <v>12:05 - 12:45</v>
      </c>
      <c r="D24" s="217" t="s">
        <v>18</v>
      </c>
      <c r="E24" s="218"/>
      <c r="F24" s="23"/>
      <c r="G24" s="216"/>
      <c r="H24" s="7"/>
      <c r="I24" s="13" t="str">
        <f>'JADWAL UMUM'!$C$22</f>
        <v>12:05 - 12:45</v>
      </c>
      <c r="J24" s="217" t="s">
        <v>18</v>
      </c>
      <c r="K24" s="218"/>
    </row>
    <row r="25" spans="1:11" ht="23.1" customHeight="1" thickTop="1" thickBot="1" x14ac:dyDescent="0.35">
      <c r="A25" s="216"/>
      <c r="B25" s="7">
        <v>7</v>
      </c>
      <c r="C25" s="13" t="str">
        <f>'JADWAL UMUM'!$C$21</f>
        <v>11:20 - 12:05</v>
      </c>
      <c r="D25" s="7" t="str">
        <f>IFERROR(HLOOKUP(KODEGURU,SENIN6A:AKHIR,ROWS(SENIN6A:AKHIR),0),"")</f>
        <v/>
      </c>
      <c r="E25" s="18" t="str">
        <f>IFERROR(VLOOKUP(HLOOKUP(KODEGURU,SENIN6A:SENIN6B,2,0),DATAMAPEL,2,0),"")</f>
        <v/>
      </c>
      <c r="F25" s="23"/>
      <c r="G25" s="216"/>
      <c r="H25" s="7" t="e">
        <f>'JADWAL UMUM'!#REF!</f>
        <v>#REF!</v>
      </c>
      <c r="I25" s="13" t="str">
        <f>'JADWAL UMUM'!$C$21</f>
        <v>11:20 - 12:05</v>
      </c>
      <c r="J25" s="7" t="str">
        <f>IFERROR(HLOOKUP(KODEGURU,KAMIS7A:AKHIR,ROWS(KAMIS7A:AKHIR),0),"")</f>
        <v/>
      </c>
      <c r="K25" s="18" t="str">
        <f>IFERROR(VLOOKUP(HLOOKUP(KODEGURU,KAMIS7A:KAMIS7B,2,0),DATAMAPEL,2,0),"")</f>
        <v/>
      </c>
    </row>
    <row r="26" spans="1:11" ht="23.1" customHeight="1" thickTop="1" thickBot="1" x14ac:dyDescent="0.35">
      <c r="A26" s="216"/>
      <c r="B26" s="7">
        <v>8</v>
      </c>
      <c r="C26" s="13" t="str">
        <f>'JADWAL UMUM'!$C$23</f>
        <v>12:45 - 13:30</v>
      </c>
      <c r="D26" s="7" t="str">
        <f>IFERROR(HLOOKUP(KODEGURU,SENIN7A:AKHIR,ROWS(SENIN7A:AKHIR),0),"")</f>
        <v/>
      </c>
      <c r="E26" s="18" t="str">
        <f>IFERROR(VLOOKUP(HLOOKUP(KODEGURU,SENIN7A:SENIN7B,2,0),DATAMAPEL,2,0),"")</f>
        <v/>
      </c>
      <c r="F26" s="23"/>
      <c r="G26" s="216"/>
      <c r="H26" s="7" t="e">
        <f>'JADWAL UMUM'!#REF!</f>
        <v>#REF!</v>
      </c>
      <c r="I26" s="13" t="str">
        <f>'JADWAL UMUM'!$C$23</f>
        <v>12:45 - 13:30</v>
      </c>
      <c r="J26" s="7" t="str">
        <f>IFERROR(HLOOKUP(KODEGURU,KAMIS8A:AKHIR,ROWS(KAMIS8A:AKHIR),0),"")</f>
        <v/>
      </c>
      <c r="K26" s="18" t="str">
        <f>IFERROR(VLOOKUP(HLOOKUP(KODEGURU,KAMIS8A:KAMIS8B,2,0),DATAMAPEL,2,0),"")</f>
        <v/>
      </c>
    </row>
    <row r="27" spans="1:11" ht="23.1" customHeight="1" thickTop="1" thickBot="1" x14ac:dyDescent="0.35">
      <c r="A27" s="216"/>
      <c r="B27" s="7">
        <v>9</v>
      </c>
      <c r="C27" s="13" t="str">
        <f>'JADWAL UMUM'!$C$24</f>
        <v>13:30 - 14:15</v>
      </c>
      <c r="D27" s="7" t="str">
        <f>IFERROR(HLOOKUP(KODEGURU,SENIN8A:AKHIR,ROWS(SENIN8A:AKHIR),0),"")</f>
        <v/>
      </c>
      <c r="E27" s="18" t="str">
        <f>IFERROR(VLOOKUP(HLOOKUP(KODEGURU,SENIN8A:SENIN8B,2,0),DATAMAPEL,2,0),"")</f>
        <v/>
      </c>
      <c r="F27" s="23"/>
      <c r="G27" s="216"/>
      <c r="H27" s="7" t="e">
        <f>'JADWAL UMUM'!#REF!</f>
        <v>#REF!</v>
      </c>
      <c r="I27" s="13" t="str">
        <f>'JADWAL UMUM'!$C$24</f>
        <v>13:30 - 14:15</v>
      </c>
      <c r="J27" s="7" t="str">
        <f>IFERROR(HLOOKUP(KODEGURU,KAMIS9A:AKHIR,ROWS(KAMIS9A:AKHIR),0),"")</f>
        <v/>
      </c>
      <c r="K27" s="18" t="str">
        <f>IFERROR(VLOOKUP(HLOOKUP(KODEGURU,KAMIS9A:KAMIS9B,2,0),DATAMAPEL,2,0),"")</f>
        <v/>
      </c>
    </row>
    <row r="28" spans="1:11" ht="23.1" customHeight="1" thickTop="1" thickBot="1" x14ac:dyDescent="0.35">
      <c r="A28" s="216"/>
      <c r="B28" s="9">
        <v>10</v>
      </c>
      <c r="C28" s="14" t="str">
        <f>'JADWAL UMUM'!$C$25</f>
        <v>14:15 - 15:00</v>
      </c>
      <c r="D28" s="7" t="str">
        <f>IFERROR(HLOOKUP(KODEGURU,SENIN9A:AKHIR,ROWS(SENIN9A:AKHIR),0),"")</f>
        <v/>
      </c>
      <c r="E28" s="18" t="str">
        <f>IFERROR(VLOOKUP(HLOOKUP(KODEGURU,SENIN9A:SENIN9B,2,0),DATAMAPEL,2,0),"")</f>
        <v/>
      </c>
      <c r="F28" s="23"/>
      <c r="G28" s="216"/>
      <c r="H28" s="9" t="e">
        <f>'JADWAL UMUM'!#REF!</f>
        <v>#REF!</v>
      </c>
      <c r="I28" s="14" t="str">
        <f>'JADWAL UMUM'!$C$25</f>
        <v>14:15 - 15:00</v>
      </c>
      <c r="J28" s="9" t="str">
        <f>IFERROR(HLOOKUP(KODEGURU,KAMIS10A:AKHIR,ROWS(KAMIS10A:AKHIR),0),"")</f>
        <v/>
      </c>
      <c r="K28" s="20" t="str">
        <f>IFERROR(VLOOKUP(HLOOKUP(KODEGURU,KAMIS10A:KAMIS10B,2,0),DATAMAPEL,2,0),"")</f>
        <v/>
      </c>
    </row>
    <row r="29" spans="1:11" ht="23.1" customHeight="1" thickTop="1" thickBot="1" x14ac:dyDescent="0.35">
      <c r="A29" s="216" t="s">
        <v>19</v>
      </c>
      <c r="B29" s="5">
        <f>'JADWAL UMUM'!B28</f>
        <v>1</v>
      </c>
      <c r="C29" s="12" t="e">
        <f>'JADWAL UMUM'!#REF!</f>
        <v>#REF!</v>
      </c>
      <c r="D29" s="5" t="str">
        <f>IFERROR(HLOOKUP(KODEGURU,SELASA1A:AKHIR,ROWS(SELASA1A:AKHIR),0),"")</f>
        <v/>
      </c>
      <c r="E29" s="19" t="str">
        <f>IFERROR(VLOOKUP(HLOOKUP(KODEGURU,SELASA1A:SELASA1B,2,0),DATAMAPEL,2,0),"")</f>
        <v/>
      </c>
      <c r="F29" s="23"/>
      <c r="G29" s="216" t="s">
        <v>22</v>
      </c>
      <c r="H29" s="5">
        <f>'JADWAL UMUM'!B70</f>
        <v>1</v>
      </c>
      <c r="I29" s="12" t="e">
        <f>'JADWAL UMUM'!#REF!</f>
        <v>#REF!</v>
      </c>
      <c r="J29" s="5" t="str">
        <f>IFERROR(HLOOKUP(KODEGURU,JUMAT1A:AKHIR,ROWS(JUMAT1A:AKHIR),0),"")</f>
        <v/>
      </c>
      <c r="K29" s="19" t="str">
        <f>IFERROR(VLOOKUP(HLOOKUP(KODEGURU,JUMAT1A:JUMAT1B,2,0),DATAMAPEL,2,0),"")</f>
        <v/>
      </c>
    </row>
    <row r="30" spans="1:11" ht="23.1" customHeight="1" thickTop="1" thickBot="1" x14ac:dyDescent="0.35">
      <c r="A30" s="216"/>
      <c r="B30" s="7">
        <f>'JADWAL UMUM'!B29</f>
        <v>2</v>
      </c>
      <c r="C30" s="13" t="str">
        <f>'JADWAL UMUM'!$C$15</f>
        <v>07:15 - 08:00</v>
      </c>
      <c r="D30" s="7" t="str">
        <f>IFERROR(HLOOKUP(KODEGURU,SELASA2A:AKHIR,ROWS(SELASA2A:AKHIR),0),"")</f>
        <v/>
      </c>
      <c r="E30" s="18" t="str">
        <f>IFERROR(VLOOKUP(HLOOKUP(KODEGURU,SELASA2A:SELASA2B,2,0),DATAMAPEL,2,0),"")</f>
        <v/>
      </c>
      <c r="F30" s="23"/>
      <c r="G30" s="216"/>
      <c r="H30" s="7">
        <f>'JADWAL UMUM'!B72</f>
        <v>3</v>
      </c>
      <c r="I30" s="13" t="str">
        <f>'JADWAL UMUM'!$C$15</f>
        <v>07:15 - 08:00</v>
      </c>
      <c r="J30" s="7" t="str">
        <f>IFERROR(HLOOKUP(KODEGURU,JUMAT2A:AKHIR,ROWS(JUMAT2A:AKHIR),0),"")</f>
        <v/>
      </c>
      <c r="K30" s="18" t="str">
        <f>IFERROR(VLOOKUP(HLOOKUP(KODEGURU,JUMAT2A:JUMAT2B,2,0),DATAMAPEL,2,0),"")</f>
        <v/>
      </c>
    </row>
    <row r="31" spans="1:11" ht="23.1" customHeight="1" thickTop="1" thickBot="1" x14ac:dyDescent="0.35">
      <c r="A31" s="216"/>
      <c r="B31" s="7">
        <f>'JADWAL UMUM'!B30</f>
        <v>3</v>
      </c>
      <c r="C31" s="13" t="str">
        <f>'JADWAL UMUM'!$C$16</f>
        <v>08:00 - 08:45</v>
      </c>
      <c r="D31" s="7" t="str">
        <f>IFERROR(HLOOKUP(KODEGURU,SELASA3A:AKHIR,ROWS(SELASA3A:AKHIR),0),"")</f>
        <v/>
      </c>
      <c r="E31" s="18" t="str">
        <f>IFERROR(VLOOKUP(HLOOKUP(KODEGURU,SELASA3A:SELASA3B,2,0),DATAMAPEL,2,0),"")</f>
        <v/>
      </c>
      <c r="F31" s="23"/>
      <c r="G31" s="216"/>
      <c r="H31" s="7">
        <f>'JADWAL UMUM'!B74</f>
        <v>0</v>
      </c>
      <c r="I31" s="13" t="str">
        <f>'JADWAL UMUM'!$C$16</f>
        <v>08:00 - 08:45</v>
      </c>
      <c r="J31" s="7" t="str">
        <f>IFERROR(HLOOKUP(KODEGURU,JUMAT3A:AKHIR,ROWS(JUMAT3A:AKHIR),0),"")</f>
        <v/>
      </c>
      <c r="K31" s="18" t="str">
        <f>IFERROR(VLOOKUP(HLOOKUP(KODEGURU,JUMAT3A:JUMAT3B,2,0),DATAMAPEL,2,0),"")</f>
        <v/>
      </c>
    </row>
    <row r="32" spans="1:11" ht="23.1" customHeight="1" thickTop="1" thickBot="1" x14ac:dyDescent="0.35">
      <c r="A32" s="216"/>
      <c r="B32" s="7">
        <f>'JADWAL UMUM'!B32</f>
        <v>0</v>
      </c>
      <c r="C32" s="13" t="str">
        <f>'JADWAL UMUM'!$C$17</f>
        <v>08:45 - 09:30</v>
      </c>
      <c r="D32" s="7" t="str">
        <f>IFERROR(HLOOKUP(KODEGURU,SELASA4A:AKHIR,ROWS(SELASA4A:AKHIR),0),"")</f>
        <v/>
      </c>
      <c r="E32" s="18" t="str">
        <f>IFERROR(VLOOKUP(HLOOKUP(KODEGURU,SELASA4A:SELASA4B,2,0),DATAMAPEL,2,0),"")</f>
        <v/>
      </c>
      <c r="F32" s="23"/>
      <c r="G32" s="216"/>
      <c r="H32" s="7">
        <f>'JADWAL UMUM'!B76</f>
        <v>6</v>
      </c>
      <c r="I32" s="13" t="str">
        <f>'JADWAL UMUM'!$C$17</f>
        <v>08:45 - 09:30</v>
      </c>
      <c r="J32" s="7" t="str">
        <f>IFERROR(HLOOKUP(KODEGURU,JUMAT4A:AKHIR,ROWS(JUMAT4A:AKHIR),0),"")</f>
        <v/>
      </c>
      <c r="K32" s="18" t="str">
        <f>IFERROR(VLOOKUP(HLOOKUP(KODEGURU,JUMAT4A:JUMAT4B,2,0),DATAMAPEL,2,0),"")</f>
        <v/>
      </c>
    </row>
    <row r="33" spans="1:11" ht="23.1" customHeight="1" thickTop="1" thickBot="1" x14ac:dyDescent="0.35">
      <c r="A33" s="216"/>
      <c r="B33" s="7"/>
      <c r="C33" s="13" t="str">
        <f>'JADWAL UMUM'!$C$18</f>
        <v>09:30 - 09:50</v>
      </c>
      <c r="D33" s="217" t="s">
        <v>18</v>
      </c>
      <c r="E33" s="218"/>
      <c r="F33" s="23"/>
      <c r="G33" s="216"/>
      <c r="H33" s="7"/>
      <c r="I33" s="13" t="str">
        <f>'JADWAL UMUM'!$C$18</f>
        <v>09:30 - 09:50</v>
      </c>
      <c r="J33" s="217" t="s">
        <v>18</v>
      </c>
      <c r="K33" s="218"/>
    </row>
    <row r="34" spans="1:11" ht="23.1" customHeight="1" thickTop="1" thickBot="1" x14ac:dyDescent="0.35">
      <c r="A34" s="216"/>
      <c r="B34" s="7">
        <f>'JADWAL UMUM'!B35</f>
        <v>7</v>
      </c>
      <c r="C34" s="13" t="str">
        <f>'JADWAL UMUM'!$C$19</f>
        <v>09:50 - 10:35</v>
      </c>
      <c r="D34" s="7" t="str">
        <f>IFERROR(HLOOKUP(KODEGURU,SELASA5A:AKHIR,ROWS(SELASA5A:AKHIR),0),"")</f>
        <v/>
      </c>
      <c r="E34" s="18" t="str">
        <f>IFERROR(VLOOKUP(HLOOKUP(KODEGURU,SELASA5A:SELASA5B,2,0),DATAMAPEL,2,0),"")</f>
        <v/>
      </c>
      <c r="F34" s="23"/>
      <c r="G34" s="216"/>
      <c r="H34" s="7">
        <f>'JADWAL UMUM'!B79</f>
        <v>8</v>
      </c>
      <c r="I34" s="13" t="str">
        <f>'JADWAL UMUM'!$C$19</f>
        <v>09:50 - 10:35</v>
      </c>
      <c r="J34" s="7" t="str">
        <f>IFERROR(HLOOKUP(KODEGURU,JUMAT5A:AKHIR,ROWS(JUMAT5A:AKHIR),0),"")</f>
        <v/>
      </c>
      <c r="K34" s="18" t="str">
        <f>IFERROR(VLOOKUP(HLOOKUP(KODEGURU,JUMAT5A:JUMAT5B,2,0),DATAMAPEL,2,0),"")</f>
        <v/>
      </c>
    </row>
    <row r="35" spans="1:11" ht="23.1" customHeight="1" thickTop="1" thickBot="1" x14ac:dyDescent="0.35">
      <c r="A35" s="216"/>
      <c r="B35" s="7">
        <f>'JADWAL UMUM'!B37</f>
        <v>8</v>
      </c>
      <c r="C35" s="13" t="str">
        <f>'JADWAL UMUM'!$C$20</f>
        <v>10:35 - 11:20</v>
      </c>
      <c r="D35" s="7" t="str">
        <f>IFERROR(HLOOKUP(KODEGURU,SELASA6A:AKHIR,ROWS(SELASA6A:AKHIR),0),"")</f>
        <v/>
      </c>
      <c r="E35" s="18" t="str">
        <f>IFERROR(VLOOKUP(HLOOKUP(KODEGURU,SELASA6A:SELASA6B,2,0),DATAMAPEL,2,0),"")</f>
        <v/>
      </c>
      <c r="F35" s="23"/>
      <c r="G35" s="216"/>
      <c r="H35" s="7">
        <f>'JADWAL UMUM'!B81</f>
        <v>10</v>
      </c>
      <c r="I35" s="13" t="str">
        <f>'JADWAL UMUM'!$C$20</f>
        <v>10:35 - 11:20</v>
      </c>
      <c r="J35" s="7" t="str">
        <f>IFERROR(HLOOKUP(KODEGURU,JUMAT6A:AKHIR,ROWS(JUMAT6A:AKHIR),0),"")</f>
        <v/>
      </c>
      <c r="K35" s="18" t="str">
        <f>IFERROR(VLOOKUP(HLOOKUP(KODEGURU,JUMAT6A:JUMAT6B,2,0),DATAMAPEL,2,0),"")</f>
        <v/>
      </c>
    </row>
    <row r="36" spans="1:11" ht="23.1" customHeight="1" thickTop="1" thickBot="1" x14ac:dyDescent="0.35">
      <c r="A36" s="216"/>
      <c r="B36" s="7"/>
      <c r="C36" s="13" t="str">
        <f>'JADWAL UMUM'!$C$22</f>
        <v>12:05 - 12:45</v>
      </c>
      <c r="D36" s="217" t="s">
        <v>18</v>
      </c>
      <c r="E36" s="218"/>
      <c r="F36" s="23"/>
      <c r="G36" s="216"/>
      <c r="H36" s="7"/>
      <c r="I36" s="13" t="str">
        <f>'JADWAL UMUM'!$C$22</f>
        <v>12:05 - 12:45</v>
      </c>
      <c r="J36" s="217" t="s">
        <v>18</v>
      </c>
      <c r="K36" s="218"/>
    </row>
    <row r="37" spans="1:11" ht="23.1" customHeight="1" thickTop="1" thickBot="1" x14ac:dyDescent="0.35">
      <c r="A37" s="216"/>
      <c r="B37" s="7">
        <f>'JADWAL UMUM'!B40</f>
        <v>0</v>
      </c>
      <c r="C37" s="13" t="str">
        <f>'JADWAL UMUM'!$C$21</f>
        <v>11:20 - 12:05</v>
      </c>
      <c r="D37" s="7" t="str">
        <f>IFERROR(HLOOKUP(KODEGURU,SELASA7A:AKHIR,ROWS(SELASA7A:AKHIR),0),"")</f>
        <v/>
      </c>
      <c r="E37" s="18" t="str">
        <f>IFERROR(VLOOKUP(HLOOKUP(KODEGURU,SELASA7A:SELASA7B,2,0),DATAMAPEL,2,0),"")</f>
        <v/>
      </c>
      <c r="F37" s="23"/>
      <c r="G37" s="216"/>
      <c r="H37" s="7" t="e">
        <f>'JADWAL UMUM'!#REF!</f>
        <v>#REF!</v>
      </c>
      <c r="I37" s="13" t="str">
        <f>'JADWAL UMUM'!$C$21</f>
        <v>11:20 - 12:05</v>
      </c>
      <c r="J37" s="7" t="str">
        <f>IFERROR(HLOOKUP(KODEGURU,JUMAT7A:AKHIR,ROWS(JUMAT7A:AKHIR),0),"")</f>
        <v/>
      </c>
      <c r="K37" s="18" t="str">
        <f>IFERROR(VLOOKUP(HLOOKUP(KODEGURU,JUMAT7A:JUMAT7B,2,0),DATAMAPEL,2,0),"")</f>
        <v/>
      </c>
    </row>
    <row r="38" spans="1:11" ht="23.1" customHeight="1" thickTop="1" thickBot="1" x14ac:dyDescent="0.35">
      <c r="A38" s="216"/>
      <c r="B38" s="7" t="e">
        <f>'JADWAL UMUM'!#REF!</f>
        <v>#REF!</v>
      </c>
      <c r="C38" s="13" t="str">
        <f>'JADWAL UMUM'!$C$23</f>
        <v>12:45 - 13:30</v>
      </c>
      <c r="D38" s="7" t="str">
        <f>IFERROR(HLOOKUP(KODEGURU,SELASA8A:AKHIR,ROWS(SELASA8A:AKHIR),0),"")</f>
        <v/>
      </c>
      <c r="E38" s="18" t="str">
        <f>IFERROR(VLOOKUP(HLOOKUP(KODEGURU,SELASA8A:SELASA8B,2,0),DATAMAPEL,2,0),"")</f>
        <v/>
      </c>
      <c r="F38" s="23"/>
      <c r="G38" s="216"/>
      <c r="H38" s="7" t="e">
        <f>'JADWAL UMUM'!#REF!</f>
        <v>#REF!</v>
      </c>
      <c r="I38" s="13" t="str">
        <f>'JADWAL UMUM'!$C$23</f>
        <v>12:45 - 13:30</v>
      </c>
      <c r="J38" s="7" t="str">
        <f>IFERROR(HLOOKUP(KODEGURU,JUMAT8A:AKHIR,ROWS(JUMAT8A:AKHIR),0),"")</f>
        <v/>
      </c>
      <c r="K38" s="18" t="str">
        <f>IFERROR(VLOOKUP(HLOOKUP(KODEGURU,JUMAT8A:JUMAT8B,2,0),DATAMAPEL,2,0),"")</f>
        <v/>
      </c>
    </row>
    <row r="39" spans="1:11" ht="23.1" customHeight="1" thickTop="1" thickBot="1" x14ac:dyDescent="0.35">
      <c r="A39" s="216"/>
      <c r="B39" s="7" t="e">
        <f>'JADWAL UMUM'!#REF!</f>
        <v>#REF!</v>
      </c>
      <c r="C39" s="13" t="str">
        <f>'JADWAL UMUM'!$C$24</f>
        <v>13:30 - 14:15</v>
      </c>
      <c r="D39" s="7" t="str">
        <f>IFERROR(HLOOKUP(KODEGURU,SELASA9A:AKHIR,ROWS(SELASA9A:AKHIR),0),"")</f>
        <v/>
      </c>
      <c r="E39" s="18" t="str">
        <f>IFERROR(VLOOKUP(HLOOKUP(KODEGURU,SELASA9A:SELASA9B,2,0),DATAMAPEL,2,0),"")</f>
        <v/>
      </c>
      <c r="F39" s="23"/>
      <c r="G39" s="216"/>
      <c r="H39" s="7" t="e">
        <f>'JADWAL UMUM'!#REF!</f>
        <v>#REF!</v>
      </c>
      <c r="I39" s="13" t="str">
        <f>'JADWAL UMUM'!$C$24</f>
        <v>13:30 - 14:15</v>
      </c>
      <c r="J39" s="7" t="str">
        <f>IFERROR(HLOOKUP(KODEGURU,JUMAT9A:AKHIR,ROWS(JUMAT9A:AKHIR),0),"")</f>
        <v/>
      </c>
      <c r="K39" s="18" t="str">
        <f>IFERROR(VLOOKUP(HLOOKUP(KODEGURU,JUMAT9A:JUMAT19B,2,0),DATAMAPEL,2,0),"")</f>
        <v/>
      </c>
    </row>
    <row r="40" spans="1:11" ht="23.1" customHeight="1" thickTop="1" thickBot="1" x14ac:dyDescent="0.35">
      <c r="A40" s="216"/>
      <c r="B40" s="9" t="e">
        <f>'JADWAL UMUM'!#REF!</f>
        <v>#REF!</v>
      </c>
      <c r="C40" s="14" t="str">
        <f>'JADWAL UMUM'!$C$25</f>
        <v>14:15 - 15:00</v>
      </c>
      <c r="D40" s="9" t="str">
        <f>IFERROR(HLOOKUP(KODEGURU,SELASA10A:AKHIR,ROWS(SELASA10A:AKHIR),0),"")</f>
        <v/>
      </c>
      <c r="E40" s="20" t="str">
        <f>IFERROR(VLOOKUP(HLOOKUP(KODEGURU,SELASA10A:SELASA10B,2,0),DATAMAPEL,2,0),"")</f>
        <v/>
      </c>
      <c r="F40" s="23"/>
      <c r="G40" s="216"/>
      <c r="H40" s="9" t="e">
        <f>'JADWAL UMUM'!#REF!</f>
        <v>#REF!</v>
      </c>
      <c r="I40" s="14" t="str">
        <f>'JADWAL UMUM'!$C$25</f>
        <v>14:15 - 15:00</v>
      </c>
      <c r="J40" s="9" t="str">
        <f>IFERROR(HLOOKUP(KODEGURU,JUMAT10A:AKHIR,ROWS(JUMAT10A:AKHIR),0),"")</f>
        <v/>
      </c>
      <c r="K40" s="20" t="str">
        <f>IFERROR(VLOOKUP(HLOOKUP(KODEGURU,JUMAT10A:JUMAT10B,2,0),DATAMAPEL,2,0),"")</f>
        <v/>
      </c>
    </row>
    <row r="41" spans="1:11" ht="23.1" customHeight="1" thickTop="1" thickBot="1" x14ac:dyDescent="0.35">
      <c r="A41" s="216" t="s">
        <v>20</v>
      </c>
      <c r="B41" s="5">
        <f>'JADWAL UMUM'!B42</f>
        <v>1</v>
      </c>
      <c r="C41" s="12" t="e">
        <f>'JADWAL UMUM'!#REF!</f>
        <v>#REF!</v>
      </c>
      <c r="D41" s="5" t="str">
        <f>IFERROR(HLOOKUP(KODEGURU,RABU1A:AKHIR,ROWS(RABU1A:AKHIR),0),"")</f>
        <v/>
      </c>
      <c r="E41" s="19" t="str">
        <f>IFERROR(VLOOKUP(HLOOKUP(KODEGURU,RABU1A:RABU1B,2,0),DATAMAPEL,2,0),"")</f>
        <v/>
      </c>
      <c r="F41" s="23"/>
      <c r="G41" s="216" t="s">
        <v>87</v>
      </c>
      <c r="H41" s="5" t="e">
        <f>'JADWAL UMUM'!#REF!</f>
        <v>#REF!</v>
      </c>
      <c r="I41" s="12" t="e">
        <f>'JADWAL UMUM'!#REF!</f>
        <v>#REF!</v>
      </c>
      <c r="J41" s="5" t="str">
        <f>IFERROR(HLOOKUP(KODEGURU,SABTU1A:AKHIR,ROWS(SABTU1A:AKHIR),0),"")</f>
        <v/>
      </c>
      <c r="K41" s="19" t="str">
        <f>IFERROR(VLOOKUP(HLOOKUP(KODEGURU,SABTU1A:SABTU1B,2,0),DATAMAPEL,2,0),"")</f>
        <v/>
      </c>
    </row>
    <row r="42" spans="1:11" ht="23.1" customHeight="1" thickTop="1" thickBot="1" x14ac:dyDescent="0.35">
      <c r="A42" s="216"/>
      <c r="B42" s="7">
        <f>'JADWAL UMUM'!B44</f>
        <v>3</v>
      </c>
      <c r="C42" s="13" t="str">
        <f>'JADWAL UMUM'!$C$15</f>
        <v>07:15 - 08:00</v>
      </c>
      <c r="D42" s="7" t="str">
        <f>IFERROR(HLOOKUP(KODEGURU,RABU2A:AKHIR,ROWS(RABU2A:AKHIR),0),"")</f>
        <v/>
      </c>
      <c r="E42" s="18" t="str">
        <f>IFERROR(VLOOKUP(HLOOKUP(KODEGURU,RABU2A:RABU2B,2,0),DATAMAPEL,2,0),"")</f>
        <v/>
      </c>
      <c r="F42" s="23"/>
      <c r="G42" s="216"/>
      <c r="H42" s="7" t="e">
        <f>'JADWAL UMUM'!#REF!</f>
        <v>#REF!</v>
      </c>
      <c r="I42" s="13" t="str">
        <f>'JADWAL UMUM'!$C$15</f>
        <v>07:15 - 08:00</v>
      </c>
      <c r="J42" s="7" t="str">
        <f>IFERROR(HLOOKUP(KODEGURU,SABTU2A:AKHIR,ROWS(SABTU2A:AKHIR),0),"")</f>
        <v/>
      </c>
      <c r="K42" s="18" t="str">
        <f>IFERROR(VLOOKUP(HLOOKUP(KODEGURU,SABTU2A:SABTU2B,2,0),DATAMAPEL,2,0),"")</f>
        <v/>
      </c>
    </row>
    <row r="43" spans="1:11" ht="23.1" customHeight="1" thickTop="1" thickBot="1" x14ac:dyDescent="0.35">
      <c r="A43" s="216"/>
      <c r="B43" s="7">
        <f>'JADWAL UMUM'!B46</f>
        <v>0</v>
      </c>
      <c r="C43" s="13" t="str">
        <f>'JADWAL UMUM'!$C$16</f>
        <v>08:00 - 08:45</v>
      </c>
      <c r="D43" s="7" t="str">
        <f>IFERROR(HLOOKUP(KODEGURU,RABU3A:AKHIR,ROWS(RABU3A:AKHIR),0),"")</f>
        <v/>
      </c>
      <c r="E43" s="18" t="str">
        <f>IFERROR(VLOOKUP(HLOOKUP(KODEGURU,RABU3A:RABU3B,2,0),DATAMAPEL,2,0),"")</f>
        <v/>
      </c>
      <c r="F43" s="23"/>
      <c r="G43" s="216"/>
      <c r="H43" s="7" t="e">
        <f>'JADWAL UMUM'!#REF!</f>
        <v>#REF!</v>
      </c>
      <c r="I43" s="13" t="str">
        <f>'JADWAL UMUM'!$C$16</f>
        <v>08:00 - 08:45</v>
      </c>
      <c r="J43" s="7" t="str">
        <f>IFERROR(HLOOKUP(KODEGURU,SABTU3A:AKHIR,ROWS(SABTU3A:AKHIR),0),"")</f>
        <v/>
      </c>
      <c r="K43" s="18" t="str">
        <f>IFERROR(VLOOKUP(HLOOKUP(KODEGURU,SABTU3A:SABTU3B,2,0),DATAMAPEL,2,0),"")</f>
        <v/>
      </c>
    </row>
    <row r="44" spans="1:11" ht="23.1" customHeight="1" thickTop="1" thickBot="1" x14ac:dyDescent="0.35">
      <c r="A44" s="216"/>
      <c r="B44" s="7">
        <f>'JADWAL UMUM'!B48</f>
        <v>6</v>
      </c>
      <c r="C44" s="13" t="str">
        <f>'JADWAL UMUM'!$C$17</f>
        <v>08:45 - 09:30</v>
      </c>
      <c r="D44" s="7" t="str">
        <f>IFERROR(HLOOKUP(KODEGURU,RABU4A:AKHIR,ROWS(RABU4A:AKHIR),0),"")</f>
        <v/>
      </c>
      <c r="E44" s="18" t="str">
        <f>IFERROR(VLOOKUP(HLOOKUP(KODEGURU,RABU4A:RABU4B,2,0),DATAMAPEL,2,0),"")</f>
        <v/>
      </c>
      <c r="F44" s="23"/>
      <c r="G44" s="216"/>
      <c r="H44" s="7" t="e">
        <f>'JADWAL UMUM'!#REF!</f>
        <v>#REF!</v>
      </c>
      <c r="I44" s="13" t="str">
        <f>'JADWAL UMUM'!$C$17</f>
        <v>08:45 - 09:30</v>
      </c>
      <c r="J44" s="7" t="str">
        <f>IFERROR(HLOOKUP(KODEGURU,SABTU4A:AKHIR,ROWS(SABTU4A:AKHIR),0),"")</f>
        <v/>
      </c>
      <c r="K44" s="18" t="str">
        <f>IFERROR(VLOOKUP(HLOOKUP(KODEGURU,SABTU4A:SABTU4B,2,0),DATAMAPEL,2,0),"")</f>
        <v/>
      </c>
    </row>
    <row r="45" spans="1:11" ht="23.1" customHeight="1" thickTop="1" thickBot="1" x14ac:dyDescent="0.35">
      <c r="A45" s="216"/>
      <c r="B45" s="7"/>
      <c r="C45" s="13" t="str">
        <f>'JADWAL UMUM'!$C$18</f>
        <v>09:30 - 09:50</v>
      </c>
      <c r="D45" s="217" t="s">
        <v>18</v>
      </c>
      <c r="E45" s="218"/>
      <c r="F45" s="23"/>
      <c r="G45" s="216"/>
      <c r="H45" s="7"/>
      <c r="I45" s="13" t="str">
        <f>'JADWAL UMUM'!$C$18</f>
        <v>09:30 - 09:50</v>
      </c>
      <c r="J45" s="217" t="s">
        <v>18</v>
      </c>
      <c r="K45" s="218"/>
    </row>
    <row r="46" spans="1:11" ht="23.1" customHeight="1" thickTop="1" thickBot="1" x14ac:dyDescent="0.35">
      <c r="A46" s="216"/>
      <c r="B46" s="7">
        <f>'JADWAL UMUM'!B51</f>
        <v>8</v>
      </c>
      <c r="C46" s="13" t="str">
        <f>'JADWAL UMUM'!$C$19</f>
        <v>09:50 - 10:35</v>
      </c>
      <c r="D46" s="7" t="str">
        <f>IFERROR(HLOOKUP(KODEGURU,RABU5A:AKHIR,ROWS(RABU5A:AKHIR),0),"")</f>
        <v/>
      </c>
      <c r="E46" s="18" t="str">
        <f>IFERROR(VLOOKUP(HLOOKUP(KODEGURU,RABU5A:RABU5B,2,0),DATAMAPEL,2,0),"")</f>
        <v/>
      </c>
      <c r="F46" s="23"/>
      <c r="G46" s="216"/>
      <c r="H46" s="7" t="e">
        <f>'JADWAL UMUM'!#REF!</f>
        <v>#REF!</v>
      </c>
      <c r="I46" s="13" t="str">
        <f>'JADWAL UMUM'!$C$19</f>
        <v>09:50 - 10:35</v>
      </c>
      <c r="J46" s="7" t="str">
        <f>IFERROR(HLOOKUP(KODEGURU,SABTU5A:AKHIR,ROWS(SABTU5A:AKHIR),0),"")</f>
        <v/>
      </c>
      <c r="K46" s="18" t="str">
        <f>IFERROR(VLOOKUP(HLOOKUP(KODEGURU,SABTU5A:SABTU5B,2,0),DATAMAPEL,2,0),"")</f>
        <v/>
      </c>
    </row>
    <row r="47" spans="1:11" ht="23.1" customHeight="1" thickTop="1" thickBot="1" x14ac:dyDescent="0.35">
      <c r="A47" s="216"/>
      <c r="B47" s="7">
        <f>'JADWAL UMUM'!B53</f>
        <v>10</v>
      </c>
      <c r="C47" s="13" t="str">
        <f>'JADWAL UMUM'!$C$20</f>
        <v>10:35 - 11:20</v>
      </c>
      <c r="D47" s="7" t="str">
        <f>IFERROR(HLOOKUP(KODEGURU,RABU6A:AKHIR,ROWS(RABU6A:AKHIR),0),"")</f>
        <v/>
      </c>
      <c r="E47" s="18" t="str">
        <f>IFERROR(VLOOKUP(HLOOKUP(KODEGURU,RABU6A:RABU6B,2,0),DATAMAPEL,2,0),"")</f>
        <v/>
      </c>
      <c r="F47" s="23"/>
      <c r="G47" s="216"/>
      <c r="H47" s="7" t="e">
        <f>'JADWAL UMUM'!#REF!</f>
        <v>#REF!</v>
      </c>
      <c r="I47" s="13" t="str">
        <f>'JADWAL UMUM'!$C$20</f>
        <v>10:35 - 11:20</v>
      </c>
      <c r="J47" s="7" t="str">
        <f>IFERROR(HLOOKUP(KODEGURU,SABTU6A:AKHIR,ROWS(SABTU6A:AKHIR),0),"")</f>
        <v/>
      </c>
      <c r="K47" s="18" t="str">
        <f>IFERROR(VLOOKUP(HLOOKUP(KODEGURU,SABTU6A:SABTU6B,2,0),DATAMAPEL,2,0),"")</f>
        <v/>
      </c>
    </row>
    <row r="48" spans="1:11" ht="23.1" customHeight="1" thickTop="1" thickBot="1" x14ac:dyDescent="0.35">
      <c r="A48" s="216"/>
      <c r="B48" s="7"/>
      <c r="C48" s="13" t="str">
        <f>'JADWAL UMUM'!$C$22</f>
        <v>12:05 - 12:45</v>
      </c>
      <c r="D48" s="217" t="s">
        <v>18</v>
      </c>
      <c r="E48" s="218"/>
      <c r="F48" s="23"/>
      <c r="G48" s="216"/>
      <c r="H48" s="7"/>
      <c r="I48" s="13" t="str">
        <f>'JADWAL UMUM'!$C$22</f>
        <v>12:05 - 12:45</v>
      </c>
      <c r="J48" s="217" t="s">
        <v>18</v>
      </c>
      <c r="K48" s="218"/>
    </row>
    <row r="49" spans="1:11" ht="23.1" customHeight="1" thickTop="1" thickBot="1" x14ac:dyDescent="0.35">
      <c r="A49" s="216"/>
      <c r="B49" s="7" t="e">
        <f>'JADWAL UMUM'!#REF!</f>
        <v>#REF!</v>
      </c>
      <c r="C49" s="13" t="str">
        <f>'JADWAL UMUM'!$C$21</f>
        <v>11:20 - 12:05</v>
      </c>
      <c r="D49" s="7" t="str">
        <f>IFERROR(HLOOKUP(KODEGURU,RABU7A:AKHIR,ROWS(RABU7A:AKHIR),0),"")</f>
        <v/>
      </c>
      <c r="E49" s="18" t="str">
        <f>IFERROR(VLOOKUP(HLOOKUP(KODEGURU,RABU7A:RABU7B,2,0),DATAMAPEL,2,0),"")</f>
        <v/>
      </c>
      <c r="F49" s="23"/>
      <c r="G49" s="216"/>
      <c r="H49" s="7" t="e">
        <f>'JADWAL UMUM'!#REF!</f>
        <v>#REF!</v>
      </c>
      <c r="I49" s="13" t="str">
        <f>'JADWAL UMUM'!$C$21</f>
        <v>11:20 - 12:05</v>
      </c>
      <c r="J49" s="7" t="str">
        <f>IFERROR(HLOOKUP(KODEGURU,SABTU7A:AKHIR,ROWS(SABTU7A:AKHIR),0),"")</f>
        <v/>
      </c>
      <c r="K49" s="18" t="str">
        <f>IFERROR(VLOOKUP(HLOOKUP(KODEGURU,SABTU7A:SABTU7B,2,0),DATAMAPEL,2,0),"")</f>
        <v/>
      </c>
    </row>
    <row r="50" spans="1:11" ht="23.1" customHeight="1" thickTop="1" thickBot="1" x14ac:dyDescent="0.35">
      <c r="A50" s="216"/>
      <c r="B50" s="7" t="e">
        <f>'JADWAL UMUM'!#REF!</f>
        <v>#REF!</v>
      </c>
      <c r="C50" s="13" t="str">
        <f>'JADWAL UMUM'!$C$23</f>
        <v>12:45 - 13:30</v>
      </c>
      <c r="D50" s="7" t="str">
        <f>IFERROR(HLOOKUP(KODEGURU,RABU8A:AKHIR,ROWS(RABU8A:AKHIR),0),"")</f>
        <v/>
      </c>
      <c r="E50" s="18" t="str">
        <f>IFERROR(VLOOKUP(HLOOKUP(KODEGURU,RABU8A:RABU8B,2,0),DATAMAPEL,2,0),"")</f>
        <v/>
      </c>
      <c r="F50" s="23"/>
      <c r="G50" s="216"/>
      <c r="H50" s="7" t="e">
        <f>'JADWAL UMUM'!#REF!</f>
        <v>#REF!</v>
      </c>
      <c r="I50" s="13" t="str">
        <f>'JADWAL UMUM'!$C$23</f>
        <v>12:45 - 13:30</v>
      </c>
      <c r="J50" s="7" t="str">
        <f>IFERROR(HLOOKUP(KODEGURU,SABTU8A:AKHIR,ROWS(SABTU8A:AKHIR),0),"")</f>
        <v/>
      </c>
      <c r="K50" s="18" t="str">
        <f>IFERROR(VLOOKUP(HLOOKUP(KODEGURU,SABTU8A:SABTU8B,2,0),DATAMAPEL,2,0),"")</f>
        <v/>
      </c>
    </row>
    <row r="51" spans="1:11" ht="23.1" customHeight="1" thickTop="1" thickBot="1" x14ac:dyDescent="0.35">
      <c r="A51" s="216"/>
      <c r="B51" s="7" t="e">
        <f>'JADWAL UMUM'!#REF!</f>
        <v>#REF!</v>
      </c>
      <c r="C51" s="13" t="str">
        <f>'JADWAL UMUM'!$C$24</f>
        <v>13:30 - 14:15</v>
      </c>
      <c r="D51" s="7" t="str">
        <f>IFERROR(HLOOKUP(KODEGURU,RABU9A:AKHIR,ROWS(RABU9A:AKHIR),0),"")</f>
        <v/>
      </c>
      <c r="E51" s="18" t="str">
        <f>IFERROR(VLOOKUP(HLOOKUP(KODEGURU,RABU9A:RABU9B,2,0),DATAMAPEL,2,0),"")</f>
        <v/>
      </c>
      <c r="F51" s="23"/>
      <c r="G51" s="216"/>
      <c r="H51" s="7" t="e">
        <f>'JADWAL UMUM'!#REF!</f>
        <v>#REF!</v>
      </c>
      <c r="I51" s="13" t="str">
        <f>'JADWAL UMUM'!$C$24</f>
        <v>13:30 - 14:15</v>
      </c>
      <c r="J51" s="7" t="str">
        <f>IFERROR(HLOOKUP(KODEGURU,SABTU9A:AKHIR,ROWS(SABTU9A:AKHIR),0),"")</f>
        <v/>
      </c>
      <c r="K51" s="18" t="str">
        <f>IFERROR(VLOOKUP(HLOOKUP(KODEGURU,SABTU9A:SABTU9B,2,0),DATAMAPEL,2,0),"")</f>
        <v/>
      </c>
    </row>
    <row r="52" spans="1:11" ht="23.1" customHeight="1" thickTop="1" thickBot="1" x14ac:dyDescent="0.35">
      <c r="A52" s="216"/>
      <c r="B52" s="9" t="e">
        <f>'JADWAL UMUM'!#REF!</f>
        <v>#REF!</v>
      </c>
      <c r="C52" s="14" t="str">
        <f>'JADWAL UMUM'!$C$25</f>
        <v>14:15 - 15:00</v>
      </c>
      <c r="D52" s="9" t="str">
        <f>IFERROR(HLOOKUP(KODEGURU,RABU10A:AKHIR,ROWS(RABU10A:AKHIR),0),"")</f>
        <v/>
      </c>
      <c r="E52" s="20" t="str">
        <f>IFERROR(VLOOKUP(HLOOKUP(KODEGURU,RABU10A:RABU10B,2,0),DATAMAPEL,2,0),"")</f>
        <v/>
      </c>
      <c r="F52" s="23"/>
      <c r="G52" s="216"/>
      <c r="H52" s="9" t="e">
        <f>'JADWAL UMUM'!#REF!</f>
        <v>#REF!</v>
      </c>
      <c r="I52" s="14" t="str">
        <f>'JADWAL UMUM'!$C$25</f>
        <v>14:15 - 15:00</v>
      </c>
      <c r="J52" s="9" t="str">
        <f>IFERROR(HLOOKUP(KODEGURU,SABTU10A:AKHIR,ROWS(SABTU10A:AKHIR),0),"")</f>
        <v/>
      </c>
      <c r="K52" s="20" t="str">
        <f>IFERROR(VLOOKUP(HLOOKUP(KODEGURU,SABTU10A:SABTU10B,2,0),DATAMAPEL,2,0),"")</f>
        <v/>
      </c>
    </row>
    <row r="53" spans="1:11" ht="20.25" customHeight="1" thickTop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</row>
    <row r="54" spans="1:11" ht="20.25" customHeight="1" x14ac:dyDescent="0.3">
      <c r="A54" s="23"/>
      <c r="B54" s="69" t="str">
        <f>'JADWAL UMUM'!B86</f>
        <v>Mengetahui:</v>
      </c>
      <c r="C54" s="69"/>
      <c r="D54" s="69"/>
      <c r="E54" s="69"/>
      <c r="F54" s="69"/>
      <c r="G54" s="69"/>
      <c r="H54" s="69"/>
      <c r="I54" s="69"/>
      <c r="J54" s="69">
        <f>'JADWAL UMUM'!T86</f>
        <v>0</v>
      </c>
      <c r="K54" s="23"/>
    </row>
    <row r="55" spans="1:11" ht="20.25" customHeight="1" x14ac:dyDescent="0.3">
      <c r="A55" s="23"/>
      <c r="B55" s="69" t="str">
        <f>'JADWAL UMUM'!B87&amp;","</f>
        <v>Kepala Sekolah,</v>
      </c>
      <c r="C55" s="69"/>
      <c r="D55" s="69"/>
      <c r="E55" s="69"/>
      <c r="F55" s="69"/>
      <c r="G55" s="69"/>
      <c r="H55" s="69"/>
      <c r="I55" s="69"/>
      <c r="J55" s="69" t="str">
        <f>'JADWAL UMUM'!T87</f>
        <v>Wakil Kepala Bidang Akademik</v>
      </c>
      <c r="K55" s="23"/>
    </row>
    <row r="56" spans="1:11" ht="20.25" customHeight="1" x14ac:dyDescent="0.3">
      <c r="A56" s="23"/>
      <c r="B56" s="69"/>
      <c r="C56" s="69"/>
      <c r="D56" s="69"/>
      <c r="E56" s="69"/>
      <c r="F56" s="69"/>
      <c r="G56" s="69"/>
      <c r="H56" s="69"/>
      <c r="I56" s="69"/>
      <c r="J56" s="69"/>
      <c r="K56" s="23"/>
    </row>
    <row r="57" spans="1:11" ht="20.25" customHeight="1" x14ac:dyDescent="0.3">
      <c r="A57" s="23"/>
      <c r="B57" s="69"/>
      <c r="C57" s="69"/>
      <c r="D57" s="69"/>
      <c r="E57" s="69"/>
      <c r="F57" s="69"/>
      <c r="G57" s="69"/>
      <c r="H57" s="69"/>
      <c r="I57" s="69"/>
      <c r="J57" s="69"/>
      <c r="K57" s="23"/>
    </row>
    <row r="58" spans="1:11" ht="20.25" customHeight="1" x14ac:dyDescent="0.3">
      <c r="A58" s="23"/>
      <c r="B58" s="69"/>
      <c r="C58" s="69"/>
      <c r="D58" s="69"/>
      <c r="E58" s="69"/>
      <c r="F58" s="69"/>
      <c r="G58" s="69"/>
      <c r="H58" s="69"/>
      <c r="I58" s="69"/>
      <c r="J58" s="69"/>
      <c r="K58" s="23"/>
    </row>
    <row r="59" spans="1:11" ht="20.25" customHeight="1" x14ac:dyDescent="0.3">
      <c r="A59" s="23"/>
      <c r="B59" s="74" t="str">
        <f>'JADWAL UMUM'!B92</f>
        <v>Drs. Sodikin, M.Si</v>
      </c>
      <c r="C59" s="69"/>
      <c r="D59" s="69"/>
      <c r="E59" s="69"/>
      <c r="F59" s="69"/>
      <c r="G59" s="69"/>
      <c r="H59" s="69"/>
      <c r="I59" s="69"/>
      <c r="J59" s="74" t="str">
        <f>'JADWAL UMUM'!T92</f>
        <v>Temy Yulianti, M.Pd</v>
      </c>
      <c r="K59" s="23"/>
    </row>
    <row r="60" spans="1:11" ht="20.25" customHeight="1" x14ac:dyDescent="0.3">
      <c r="A60" s="23"/>
      <c r="B60" s="69" t="str">
        <f>'JADWAL UMUM'!B93</f>
        <v>NIP. 196810212003121001</v>
      </c>
      <c r="C60" s="69"/>
      <c r="D60" s="69"/>
      <c r="E60" s="69"/>
      <c r="F60" s="69"/>
      <c r="G60" s="69"/>
      <c r="H60" s="69"/>
      <c r="I60" s="69"/>
      <c r="J60" s="69" t="str">
        <f>'JADWAL UMUM'!T93</f>
        <v>NIP. 197712102009122003</v>
      </c>
      <c r="K60" s="23"/>
    </row>
  </sheetData>
  <mergeCells count="38">
    <mergeCell ref="A1:K1"/>
    <mergeCell ref="A2:K2"/>
    <mergeCell ref="A3:K3"/>
    <mergeCell ref="A4:K4"/>
    <mergeCell ref="A5:K5"/>
    <mergeCell ref="A6:K6"/>
    <mergeCell ref="A8:K8"/>
    <mergeCell ref="A9:K9"/>
    <mergeCell ref="A11:C11"/>
    <mergeCell ref="A12:C12"/>
    <mergeCell ref="G15:G16"/>
    <mergeCell ref="H15:I15"/>
    <mergeCell ref="K15:K16"/>
    <mergeCell ref="J15:J16"/>
    <mergeCell ref="G17:G28"/>
    <mergeCell ref="J21:K21"/>
    <mergeCell ref="J24:K24"/>
    <mergeCell ref="J36:K36"/>
    <mergeCell ref="D21:E21"/>
    <mergeCell ref="D24:E24"/>
    <mergeCell ref="D33:E33"/>
    <mergeCell ref="D36:E36"/>
    <mergeCell ref="G41:G52"/>
    <mergeCell ref="J45:K45"/>
    <mergeCell ref="J48:K48"/>
    <mergeCell ref="A13:C13"/>
    <mergeCell ref="A15:A16"/>
    <mergeCell ref="A17:A28"/>
    <mergeCell ref="A29:A40"/>
    <mergeCell ref="A41:A52"/>
    <mergeCell ref="D17:E17"/>
    <mergeCell ref="D45:E45"/>
    <mergeCell ref="D48:E48"/>
    <mergeCell ref="B15:C15"/>
    <mergeCell ref="D15:D16"/>
    <mergeCell ref="E15:E16"/>
    <mergeCell ref="G29:G40"/>
    <mergeCell ref="J33:K33"/>
  </mergeCells>
  <printOptions horizontalCentered="1"/>
  <pageMargins left="0.39370078740157483" right="0.39370078740157483" top="0.78740157480314965" bottom="0.39370078740157483" header="0.31496062992125984" footer="0.31496062992125984"/>
  <pageSetup paperSize="9" scale="55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'JADWAL UMUM'!$S$15:$S$83</xm:f>
          </x14:formula1>
          <xm:sqref>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60"/>
  <sheetViews>
    <sheetView view="pageBreakPreview" zoomScale="55" zoomScaleNormal="55" zoomScaleSheetLayoutView="55" workbookViewId="0">
      <selection sqref="A1:K1"/>
    </sheetView>
  </sheetViews>
  <sheetFormatPr defaultColWidth="9.109375" defaultRowHeight="15.6" x14ac:dyDescent="0.3"/>
  <cols>
    <col min="1" max="2" width="7.6640625" style="4" customWidth="1"/>
    <col min="3" max="3" width="18.6640625" style="4" customWidth="1"/>
    <col min="4" max="5" width="30.6640625" style="4" customWidth="1"/>
    <col min="6" max="6" width="3.6640625" style="4" customWidth="1"/>
    <col min="7" max="8" width="7.6640625" style="4" customWidth="1"/>
    <col min="9" max="9" width="18.6640625" style="4" customWidth="1"/>
    <col min="10" max="11" width="30.6640625" style="4" customWidth="1"/>
    <col min="12" max="16384" width="9.109375" style="4"/>
  </cols>
  <sheetData>
    <row r="1" spans="1:11" ht="23.4" x14ac:dyDescent="0.3">
      <c r="A1" s="229" t="str">
        <f>'JADWAL UMUM'!A1:V1</f>
        <v>KEMENTERIAN AGAMA REPUBLIK INDONESIA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</row>
    <row r="2" spans="1:11" ht="23.4" x14ac:dyDescent="0.3">
      <c r="A2" s="229" t="str">
        <f>'JADWAL UMUM'!A2:V2</f>
        <v>KANTOR KEMENTERIAN AGAMA KOTA JAKARTA TIMUR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</row>
    <row r="3" spans="1:11" ht="36.6" x14ac:dyDescent="0.3">
      <c r="A3" s="203" t="str">
        <f>'JADWAL UMUM'!A3:V3</f>
        <v>MAN 20 JAKARTA TIMUR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</row>
    <row r="4" spans="1:11" ht="21" x14ac:dyDescent="0.3">
      <c r="A4" s="239" t="str">
        <f>'JADWAL UMUM'!A4:V4</f>
        <v>Jl. DR. KRT. Radjiman Widyadiningrat RT 08 RW 07 Jatinegara Cakung</v>
      </c>
      <c r="B4" s="239"/>
      <c r="C4" s="239"/>
      <c r="D4" s="239"/>
      <c r="E4" s="239"/>
      <c r="F4" s="239"/>
      <c r="G4" s="239"/>
      <c r="H4" s="239"/>
      <c r="I4" s="239"/>
      <c r="J4" s="239"/>
      <c r="K4" s="239"/>
    </row>
    <row r="5" spans="1:11" ht="18" x14ac:dyDescent="0.3">
      <c r="A5" s="240" t="str">
        <f>'JADWAL UMUM'!A5:V5</f>
        <v>E-Mail: man20jktofficial@gmail.com Website: https://man20jakarta.sch.id/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ht="4.2" customHeight="1" thickBot="1" x14ac:dyDescent="0.35">
      <c r="A6" s="241"/>
      <c r="B6" s="241"/>
      <c r="C6" s="241"/>
      <c r="D6" s="241"/>
      <c r="E6" s="241"/>
      <c r="F6" s="241"/>
      <c r="G6" s="241"/>
      <c r="H6" s="241"/>
      <c r="I6" s="241"/>
      <c r="J6" s="241"/>
      <c r="K6" s="241"/>
    </row>
    <row r="7" spans="1:11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</row>
    <row r="8" spans="1:11" ht="23.4" x14ac:dyDescent="0.3">
      <c r="A8" s="229" t="str">
        <f>'JADWAL UMUM'!A8</f>
        <v>JADWAL PELAJARAN SEMESTER GANJIL</v>
      </c>
      <c r="B8" s="229"/>
      <c r="C8" s="229"/>
      <c r="D8" s="229"/>
      <c r="E8" s="229"/>
      <c r="F8" s="229"/>
      <c r="G8" s="229"/>
      <c r="H8" s="229"/>
      <c r="I8" s="229"/>
      <c r="J8" s="229"/>
      <c r="K8" s="229"/>
    </row>
    <row r="9" spans="1:11" ht="23.4" x14ac:dyDescent="0.3">
      <c r="A9" s="229" t="str">
        <f>'JADWAL UMUM'!A9</f>
        <v>TAHUN AJARAN 2026 - 2027</v>
      </c>
      <c r="B9" s="229"/>
      <c r="C9" s="229"/>
      <c r="D9" s="229"/>
      <c r="E9" s="229"/>
      <c r="F9" s="229"/>
      <c r="G9" s="229"/>
      <c r="H9" s="229"/>
      <c r="I9" s="229"/>
      <c r="J9" s="229"/>
      <c r="K9" s="229"/>
    </row>
    <row r="10" spans="1:11" ht="21" customHeight="1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</row>
    <row r="11" spans="1:11" ht="21" customHeight="1" x14ac:dyDescent="0.3">
      <c r="A11" s="232" t="s">
        <v>27</v>
      </c>
      <c r="B11" s="232"/>
      <c r="C11" s="66" t="s">
        <v>62</v>
      </c>
      <c r="D11" s="23"/>
      <c r="E11" s="23"/>
      <c r="F11" s="22"/>
      <c r="G11" s="67"/>
      <c r="H11" s="67"/>
      <c r="I11" s="68"/>
      <c r="J11" s="23"/>
      <c r="K11" s="23"/>
    </row>
    <row r="12" spans="1:11" ht="21" customHeight="1" thickBot="1" x14ac:dyDescent="0.35">
      <c r="A12" s="23"/>
      <c r="B12" s="23"/>
      <c r="C12" s="23"/>
      <c r="D12" s="23"/>
      <c r="E12" s="23"/>
      <c r="F12" s="22"/>
      <c r="G12" s="23"/>
      <c r="H12" s="23"/>
      <c r="I12" s="23"/>
      <c r="J12" s="23"/>
      <c r="K12" s="23"/>
    </row>
    <row r="13" spans="1:11" ht="24.9" customHeight="1" thickTop="1" thickBot="1" x14ac:dyDescent="0.35">
      <c r="A13" s="220" t="s">
        <v>0</v>
      </c>
      <c r="B13" s="223" t="s">
        <v>28</v>
      </c>
      <c r="C13" s="224"/>
      <c r="D13" s="233" t="s">
        <v>15</v>
      </c>
      <c r="E13" s="226" t="s">
        <v>24</v>
      </c>
      <c r="F13" s="69"/>
      <c r="G13" s="220" t="s">
        <v>0</v>
      </c>
      <c r="H13" s="223" t="s">
        <v>28</v>
      </c>
      <c r="I13" s="224"/>
      <c r="J13" s="233" t="s">
        <v>15</v>
      </c>
      <c r="K13" s="226" t="s">
        <v>24</v>
      </c>
    </row>
    <row r="14" spans="1:11" ht="50.1" customHeight="1" thickTop="1" thickBot="1" x14ac:dyDescent="0.35">
      <c r="A14" s="220"/>
      <c r="B14" s="64" t="s">
        <v>2</v>
      </c>
      <c r="C14" s="65" t="s">
        <v>1</v>
      </c>
      <c r="D14" s="234"/>
      <c r="E14" s="227"/>
      <c r="F14" s="69"/>
      <c r="G14" s="220"/>
      <c r="H14" s="64" t="s">
        <v>2</v>
      </c>
      <c r="I14" s="65" t="s">
        <v>1</v>
      </c>
      <c r="J14" s="234"/>
      <c r="K14" s="227"/>
    </row>
    <row r="15" spans="1:11" ht="23.1" customHeight="1" thickTop="1" thickBot="1" x14ac:dyDescent="0.35">
      <c r="A15" s="216" t="s">
        <v>17</v>
      </c>
      <c r="B15" s="5">
        <v>1</v>
      </c>
      <c r="C15" s="12" t="e">
        <f>'JADWAL UMUM'!#REF!</f>
        <v>#REF!</v>
      </c>
      <c r="D15" s="237" t="e">
        <f>_xlfn.SINGLE('JADWAL UMUM'!#REF!)</f>
        <v>#REF!</v>
      </c>
      <c r="E15" s="238"/>
      <c r="F15" s="69"/>
      <c r="G15" s="216" t="s">
        <v>21</v>
      </c>
      <c r="H15" s="5">
        <f>'JADWAL UMUM'!B56</f>
        <v>1</v>
      </c>
      <c r="I15" s="12" t="e">
        <f>'JADWAL UMUM'!#REF!</f>
        <v>#REF!</v>
      </c>
      <c r="J15" s="17" t="str">
        <f>IFERROR(VLOOKUP(HLOOKUP(KELAS,AWAL:KAMIS1B,ROWS(AWAL:KAMIS1B),0),DATAMAPEL,2,0),"")</f>
        <v/>
      </c>
      <c r="K15" s="6" t="str">
        <f>IFERROR(VLOOKUP(HLOOKUP(KELAS,AWAL:KAMIS1B,ROWS(AWAL:KAMIS1B)-1,0),DATAGURU,2,0),"")</f>
        <v/>
      </c>
    </row>
    <row r="16" spans="1:11" ht="23.1" customHeight="1" thickTop="1" thickBot="1" x14ac:dyDescent="0.35">
      <c r="A16" s="216"/>
      <c r="B16" s="7">
        <v>2</v>
      </c>
      <c r="C16" s="13" t="str">
        <f>'JADWAL UMUM'!$C$15</f>
        <v>07:15 - 08:00</v>
      </c>
      <c r="D16" s="15" t="str">
        <f>IFERROR(VLOOKUP(HLOOKUP(KELAS,AWAL:SENIN1B,ROWS(AWAL:SENIN1B),0),DATAMAPEL,2,0),"")</f>
        <v/>
      </c>
      <c r="E16" s="8" t="str">
        <f>IFERROR(VLOOKUP(HLOOKUP(KELAS,AWAL:SENIN1B,ROWS(AWAL:SENIN1B)-1,0),DATAGURU,2,0),"")</f>
        <v/>
      </c>
      <c r="F16" s="69"/>
      <c r="G16" s="216"/>
      <c r="H16" s="7">
        <f>'JADWAL UMUM'!B58</f>
        <v>3</v>
      </c>
      <c r="I16" s="13" t="str">
        <f>'JADWAL UMUM'!$C$15</f>
        <v>07:15 - 08:00</v>
      </c>
      <c r="J16" s="15" t="str">
        <f>IFERROR(VLOOKUP(HLOOKUP(KELAS,AWAL:KAMIS2B,ROWS(AWAL:KAMIS2B),0),DATAMAPEL,2,0),"")</f>
        <v/>
      </c>
      <c r="K16" s="8" t="str">
        <f>IFERROR(VLOOKUP(HLOOKUP(KELAS,AWAL:KAMIS2B,ROWS(AWAL:KAMIS2B)-1,0),DATAGURU,2,0),"")</f>
        <v/>
      </c>
    </row>
    <row r="17" spans="1:11" ht="23.1" customHeight="1" thickTop="1" thickBot="1" x14ac:dyDescent="0.35">
      <c r="A17" s="216"/>
      <c r="B17" s="7">
        <v>3</v>
      </c>
      <c r="C17" s="13" t="str">
        <f>'JADWAL UMUM'!$C$16</f>
        <v>08:00 - 08:45</v>
      </c>
      <c r="D17" s="15" t="str">
        <f>IFERROR(VLOOKUP(HLOOKUP(KELAS,AWAL:SENIN2B,ROWS(AWAL:SENIN2B),0),DATAMAPEL,2,0),"")</f>
        <v/>
      </c>
      <c r="E17" s="8" t="str">
        <f>IFERROR(VLOOKUP(HLOOKUP(KELAS,AWAL:SENIN2B,ROWS(AWAL:SENIN2B)-1,0),DATAGURU,2,0),"")</f>
        <v/>
      </c>
      <c r="F17" s="69"/>
      <c r="G17" s="216"/>
      <c r="H17" s="7">
        <f>'JADWAL UMUM'!B60</f>
        <v>0</v>
      </c>
      <c r="I17" s="13" t="str">
        <f>'JADWAL UMUM'!$C$16</f>
        <v>08:00 - 08:45</v>
      </c>
      <c r="J17" s="15" t="str">
        <f>IFERROR(VLOOKUP(HLOOKUP(KELAS,AWAL:KAMIS3B,ROWS(AWAL:KAMIS3B),0),DATAMAPEL,2,0),"")</f>
        <v/>
      </c>
      <c r="K17" s="8" t="str">
        <f>IFERROR(VLOOKUP(HLOOKUP(KELAS,AWAL:KAMIS3B,ROWS(AWAL:KAMIS3B)-1,0),DATAGURU,2,0),"")</f>
        <v/>
      </c>
    </row>
    <row r="18" spans="1:11" ht="23.1" customHeight="1" thickTop="1" thickBot="1" x14ac:dyDescent="0.35">
      <c r="A18" s="216"/>
      <c r="B18" s="7">
        <v>4</v>
      </c>
      <c r="C18" s="13" t="str">
        <f>'JADWAL UMUM'!$C$17</f>
        <v>08:45 - 09:30</v>
      </c>
      <c r="D18" s="15" t="str">
        <f>IFERROR(VLOOKUP(HLOOKUP(KELAS,AWAL:SENIN3B,ROWS(AWAL:SENIN3B),0),DATAMAPEL,2,0),"")</f>
        <v/>
      </c>
      <c r="E18" s="8" t="str">
        <f>IFERROR(VLOOKUP(HLOOKUP(KELAS,AWAL:SENIN3B,ROWS(AWAL:SENIN3B)-1,0),DATAGURU,2,0),"")</f>
        <v/>
      </c>
      <c r="F18" s="69"/>
      <c r="G18" s="216"/>
      <c r="H18" s="7">
        <f>'JADWAL UMUM'!B62</f>
        <v>6</v>
      </c>
      <c r="I18" s="13" t="str">
        <f>'JADWAL UMUM'!$C$17</f>
        <v>08:45 - 09:30</v>
      </c>
      <c r="J18" s="15" t="str">
        <f>IFERROR(VLOOKUP(HLOOKUP(KELAS,AWAL:KAMIS4B,ROWS(AWAL:KAMIS4B),0),DATAMAPEL,2,0),"")</f>
        <v/>
      </c>
      <c r="K18" s="8" t="str">
        <f>IFERROR(VLOOKUP(HLOOKUP(KELAS,AWAL:KAMIS4B,ROWS(AWAL:KAMIS4B)-1,0),DATAGURU,2,0),"")</f>
        <v/>
      </c>
    </row>
    <row r="19" spans="1:11" ht="23.1" customHeight="1" thickTop="1" thickBot="1" x14ac:dyDescent="0.35">
      <c r="A19" s="216"/>
      <c r="B19" s="7"/>
      <c r="C19" s="13" t="str">
        <f>'JADWAL UMUM'!$C$18</f>
        <v>09:30 - 09:50</v>
      </c>
      <c r="D19" s="235" t="s">
        <v>18</v>
      </c>
      <c r="E19" s="236"/>
      <c r="F19" s="69"/>
      <c r="G19" s="216"/>
      <c r="H19" s="7"/>
      <c r="I19" s="13" t="str">
        <f>'JADWAL UMUM'!$C$18</f>
        <v>09:30 - 09:50</v>
      </c>
      <c r="J19" s="235" t="s">
        <v>18</v>
      </c>
      <c r="K19" s="236"/>
    </row>
    <row r="20" spans="1:11" ht="23.1" customHeight="1" thickTop="1" thickBot="1" x14ac:dyDescent="0.35">
      <c r="A20" s="216"/>
      <c r="B20" s="7">
        <v>5</v>
      </c>
      <c r="C20" s="13" t="str">
        <f>'JADWAL UMUM'!$C$19</f>
        <v>09:50 - 10:35</v>
      </c>
      <c r="D20" s="15" t="str">
        <f>IFERROR(VLOOKUP(HLOOKUP(KELAS,AWAL:SENIN4B,ROWS(AWAL:SENIN4B),0),DATAMAPEL,2,0),"")</f>
        <v/>
      </c>
      <c r="E20" s="8" t="str">
        <f>IFERROR(VLOOKUP(HLOOKUP(KELAS,AWAL:SENIN4B,ROWS(AWAL:SENIN4B)-1,0),DATAGURU,2,0),"")</f>
        <v/>
      </c>
      <c r="F20" s="69"/>
      <c r="G20" s="216"/>
      <c r="H20" s="7">
        <f>'JADWAL UMUM'!B65</f>
        <v>8</v>
      </c>
      <c r="I20" s="13" t="str">
        <f>'JADWAL UMUM'!$C$19</f>
        <v>09:50 - 10:35</v>
      </c>
      <c r="J20" s="15" t="str">
        <f>IFERROR(VLOOKUP(HLOOKUP(KELAS,AWAL:KAMIS5B,ROWS(AWAL:KAMIS5B),0),DATAMAPEL,2,0),"")</f>
        <v/>
      </c>
      <c r="K20" s="8" t="str">
        <f>IFERROR(VLOOKUP(HLOOKUP(KELAS,AWAL:KAMIS5B,ROWS(AWAL:KAMIS5B)-1,0),DATAGURU,2,0),"")</f>
        <v/>
      </c>
    </row>
    <row r="21" spans="1:11" ht="23.1" customHeight="1" thickTop="1" thickBot="1" x14ac:dyDescent="0.35">
      <c r="A21" s="216"/>
      <c r="B21" s="7">
        <v>6</v>
      </c>
      <c r="C21" s="13" t="str">
        <f>'JADWAL UMUM'!$C$20</f>
        <v>10:35 - 11:20</v>
      </c>
      <c r="D21" s="15" t="str">
        <f>IFERROR(VLOOKUP(HLOOKUP(KELAS,AWAL:SENIN5B,ROWS(AWAL:SENIN5B),0),DATAMAPEL,2,0),"")</f>
        <v/>
      </c>
      <c r="E21" s="8" t="str">
        <f>IFERROR(VLOOKUP(HLOOKUP(KELAS,AWAL:SENIN5B,ROWS(AWAL:SENIN5B)-1,0),DATAGURU,2,0),"")</f>
        <v/>
      </c>
      <c r="F21" s="69"/>
      <c r="G21" s="216"/>
      <c r="H21" s="7">
        <f>'JADWAL UMUM'!B67</f>
        <v>10</v>
      </c>
      <c r="I21" s="13" t="str">
        <f>'JADWAL UMUM'!$C$20</f>
        <v>10:35 - 11:20</v>
      </c>
      <c r="J21" s="15" t="str">
        <f>IFERROR(VLOOKUP(HLOOKUP(KELAS,AWAL:KAMIS6B,ROWS(AWAL:KAMIS6B),0),DATAMAPEL,2,0),"")</f>
        <v/>
      </c>
      <c r="K21" s="8" t="str">
        <f>IFERROR(VLOOKUP(HLOOKUP(KELAS,AWAL:KAMIS6B,ROWS(AWAL:KAMIS6B)-1,0),DATAGURU,2,0),"")</f>
        <v/>
      </c>
    </row>
    <row r="22" spans="1:11" ht="23.1" customHeight="1" thickTop="1" thickBot="1" x14ac:dyDescent="0.35">
      <c r="A22" s="216"/>
      <c r="B22" s="7"/>
      <c r="C22" s="13" t="str">
        <f>'JADWAL UMUM'!$C$22</f>
        <v>12:05 - 12:45</v>
      </c>
      <c r="D22" s="235" t="s">
        <v>18</v>
      </c>
      <c r="E22" s="236"/>
      <c r="F22" s="69"/>
      <c r="G22" s="216"/>
      <c r="H22" s="7"/>
      <c r="I22" s="13" t="str">
        <f>'JADWAL UMUM'!$C$22</f>
        <v>12:05 - 12:45</v>
      </c>
      <c r="J22" s="235" t="s">
        <v>18</v>
      </c>
      <c r="K22" s="236"/>
    </row>
    <row r="23" spans="1:11" ht="23.1" customHeight="1" thickTop="1" thickBot="1" x14ac:dyDescent="0.35">
      <c r="A23" s="216"/>
      <c r="B23" s="7">
        <v>7</v>
      </c>
      <c r="C23" s="13" t="str">
        <f>'JADWAL UMUM'!$C$21</f>
        <v>11:20 - 12:05</v>
      </c>
      <c r="D23" s="15" t="str">
        <f>IFERROR(VLOOKUP(HLOOKUP(KELAS,AWAL:SENIN6B,ROWS(AWAL:SENIN6B),0),DATAMAPEL,2,0),"")</f>
        <v/>
      </c>
      <c r="E23" s="8" t="str">
        <f>IFERROR(VLOOKUP(HLOOKUP(KELAS,AWAL:SENIN6B,ROWS(AWAL:SENIN6B)-1,0),DATAGURU,2,0),"")</f>
        <v/>
      </c>
      <c r="F23" s="69"/>
      <c r="G23" s="216"/>
      <c r="H23" s="7" t="e">
        <f>'JADWAL UMUM'!#REF!</f>
        <v>#REF!</v>
      </c>
      <c r="I23" s="13" t="str">
        <f>'JADWAL UMUM'!$C$21</f>
        <v>11:20 - 12:05</v>
      </c>
      <c r="J23" s="15" t="str">
        <f>IFERROR(VLOOKUP(HLOOKUP(KELAS,AWAL:KAMIS7B,ROWS(AWAL:KAMIS7B),0),DATAMAPEL,2,0),"")</f>
        <v/>
      </c>
      <c r="K23" s="8" t="str">
        <f>IFERROR(VLOOKUP(HLOOKUP(KELAS,AWAL:KAMIS7B,ROWS(AWAL:KAMIS7B)-1,0),DATAGURU,2,0),"")</f>
        <v/>
      </c>
    </row>
    <row r="24" spans="1:11" ht="23.1" customHeight="1" thickTop="1" thickBot="1" x14ac:dyDescent="0.35">
      <c r="A24" s="216"/>
      <c r="B24" s="7">
        <v>8</v>
      </c>
      <c r="C24" s="13" t="str">
        <f>'JADWAL UMUM'!$C$23</f>
        <v>12:45 - 13:30</v>
      </c>
      <c r="D24" s="15" t="str">
        <f>IFERROR(VLOOKUP(HLOOKUP(KELAS,AWAL:SENIN7B,ROWS(AWAL:SENIN7B),0),DATAMAPEL,2,0),"")</f>
        <v/>
      </c>
      <c r="E24" s="8" t="str">
        <f>IFERROR(VLOOKUP(HLOOKUP(KELAS,AWAL:SENIN7B,ROWS(AWAL:SENIN7B)-1,0),DATAGURU,2,0),"")</f>
        <v/>
      </c>
      <c r="F24" s="69"/>
      <c r="G24" s="216"/>
      <c r="H24" s="7" t="e">
        <f>'JADWAL UMUM'!#REF!</f>
        <v>#REF!</v>
      </c>
      <c r="I24" s="13" t="str">
        <f>'JADWAL UMUM'!$C$23</f>
        <v>12:45 - 13:30</v>
      </c>
      <c r="J24" s="15" t="str">
        <f>IFERROR(VLOOKUP(HLOOKUP(KELAS,AWAL:KAMIS8B,ROWS(AWAL:KAMIS8B),0),DATAMAPEL,2,0),"")</f>
        <v/>
      </c>
      <c r="K24" s="8" t="str">
        <f>IFERROR(VLOOKUP(HLOOKUP(KELAS,AWAL:KAMIS8B,ROWS(AWAL:KAMIS8B)-1,0),DATAGURU,2,0),"")</f>
        <v/>
      </c>
    </row>
    <row r="25" spans="1:11" ht="23.1" customHeight="1" thickTop="1" thickBot="1" x14ac:dyDescent="0.35">
      <c r="A25" s="216"/>
      <c r="B25" s="7">
        <v>9</v>
      </c>
      <c r="C25" s="13" t="str">
        <f>'JADWAL UMUM'!$C$24</f>
        <v>13:30 - 14:15</v>
      </c>
      <c r="D25" s="15" t="str">
        <f>IFERROR(VLOOKUP(HLOOKUP(KELAS,AWAL:SENIN8B,ROWS(AWAL:SENIN8B),0),DATAMAPEL,2,0),"")</f>
        <v/>
      </c>
      <c r="E25" s="8" t="str">
        <f>IFERROR(VLOOKUP(HLOOKUP(KELAS,AWAL:SENIN8B,ROWS(AWAL:SENIN8B)-1,0),DATAGURU,2,0),"")</f>
        <v/>
      </c>
      <c r="F25" s="69"/>
      <c r="G25" s="216"/>
      <c r="H25" s="7" t="e">
        <f>'JADWAL UMUM'!#REF!</f>
        <v>#REF!</v>
      </c>
      <c r="I25" s="13" t="str">
        <f>'JADWAL UMUM'!$C$24</f>
        <v>13:30 - 14:15</v>
      </c>
      <c r="J25" s="15" t="str">
        <f>IFERROR(VLOOKUP(HLOOKUP(KELAS,AWAL:KAMIS9B,ROWS(AWAL:KAMIS9B),0),DATAMAPEL,2,0),"")</f>
        <v/>
      </c>
      <c r="K25" s="8" t="str">
        <f>IFERROR(VLOOKUP(HLOOKUP(KELAS,AWAL:KAMIS9B,ROWS(AWAL:KAMIS9B)-1,0),DATAGURU,2,0),"")</f>
        <v/>
      </c>
    </row>
    <row r="26" spans="1:11" ht="23.1" customHeight="1" thickTop="1" thickBot="1" x14ac:dyDescent="0.35">
      <c r="A26" s="216"/>
      <c r="B26" s="9">
        <v>10</v>
      </c>
      <c r="C26" s="14" t="str">
        <f>'JADWAL UMUM'!$C$25</f>
        <v>14:15 - 15:00</v>
      </c>
      <c r="D26" s="16" t="str">
        <f>IFERROR(VLOOKUP(HLOOKUP(KELAS,AWAL:SENIN9B,ROWS(AWAL:SENIN9B),0),DATAMAPEL,2,0),"")</f>
        <v/>
      </c>
      <c r="E26" s="10" t="str">
        <f>IFERROR(VLOOKUP(HLOOKUP(KELAS,AWAL:SENIN9B,ROWS(AWAL:SENIN9B)-1,0),DATAGURU,2,0),"")</f>
        <v/>
      </c>
      <c r="F26" s="69"/>
      <c r="G26" s="216"/>
      <c r="H26" s="9" t="e">
        <f>'JADWAL UMUM'!#REF!</f>
        <v>#REF!</v>
      </c>
      <c r="I26" s="14" t="str">
        <f>'JADWAL UMUM'!$C$25</f>
        <v>14:15 - 15:00</v>
      </c>
      <c r="J26" s="16" t="str">
        <f>IFERROR(VLOOKUP(HLOOKUP(KELAS,AWAL:KAMIS10B,ROWS(AWAL:KAMIS10B),0),DATAMAPEL,2,0),"")</f>
        <v/>
      </c>
      <c r="K26" s="10" t="str">
        <f>IFERROR(VLOOKUP(HLOOKUP(KELAS,AWAL:KAMIS10B,ROWS(AWAL:KAMIS10B)-1,0),DATAGURU,2,0),"")</f>
        <v/>
      </c>
    </row>
    <row r="27" spans="1:11" ht="23.1" customHeight="1" thickTop="1" thickBot="1" x14ac:dyDescent="0.35">
      <c r="A27" s="216" t="s">
        <v>19</v>
      </c>
      <c r="B27" s="5">
        <f>'JADWAL UMUM'!B28</f>
        <v>1</v>
      </c>
      <c r="C27" s="12" t="e">
        <f>'JADWAL UMUM'!#REF!</f>
        <v>#REF!</v>
      </c>
      <c r="D27" s="17" t="str">
        <f>IFERROR(VLOOKUP(HLOOKUP(KELAS,AWAL:SELASA1B,ROWS(AWAL:SELASA1B),0),DATAMAPEL,2,0),"")</f>
        <v/>
      </c>
      <c r="E27" s="6" t="str">
        <f>IFERROR(VLOOKUP(HLOOKUP(KELAS,AWAL:SELASA1B,ROWS(AWAL:SELASA1B)-1,0),DATAGURU,2,0),"")</f>
        <v/>
      </c>
      <c r="F27" s="69"/>
      <c r="G27" s="216" t="s">
        <v>22</v>
      </c>
      <c r="H27" s="5">
        <f>'JADWAL UMUM'!B70</f>
        <v>1</v>
      </c>
      <c r="I27" s="12" t="e">
        <f>'JADWAL UMUM'!#REF!</f>
        <v>#REF!</v>
      </c>
      <c r="J27" s="17" t="str">
        <f>IFERROR(VLOOKUP(HLOOKUP(KELAS,AWAL:JUMAT1B,ROWS(AWAL:JUMAT1B),0),DATAMAPEL,2,0),"")</f>
        <v/>
      </c>
      <c r="K27" s="6" t="str">
        <f>IFERROR(VLOOKUP(HLOOKUP(KELAS,AWAL:JUMAT1B,ROWS(AWAL:JUMAT1B)-1,0),DATAGURU,2,0),"")</f>
        <v/>
      </c>
    </row>
    <row r="28" spans="1:11" ht="23.1" customHeight="1" thickTop="1" thickBot="1" x14ac:dyDescent="0.35">
      <c r="A28" s="216"/>
      <c r="B28" s="7">
        <f>'JADWAL UMUM'!B29</f>
        <v>2</v>
      </c>
      <c r="C28" s="13" t="str">
        <f>'JADWAL UMUM'!$C$15</f>
        <v>07:15 - 08:00</v>
      </c>
      <c r="D28" s="15" t="str">
        <f>IFERROR(VLOOKUP(HLOOKUP(KELAS,AWAL:SELASA2B,ROWS(AWAL:SELASA2B),0),DATAMAPEL,2,0),"")</f>
        <v/>
      </c>
      <c r="E28" s="8" t="str">
        <f>IFERROR(VLOOKUP(HLOOKUP(KELAS,AWAL:SELASA2B,ROWS(AWAL:SELASA2B)-1,0),DATAGURU,2,0),"")</f>
        <v/>
      </c>
      <c r="F28" s="69"/>
      <c r="G28" s="216"/>
      <c r="H28" s="7">
        <f>'JADWAL UMUM'!B72</f>
        <v>3</v>
      </c>
      <c r="I28" s="13" t="str">
        <f>'JADWAL UMUM'!$C$15</f>
        <v>07:15 - 08:00</v>
      </c>
      <c r="J28" s="15" t="str">
        <f>IFERROR(VLOOKUP(HLOOKUP(KELAS,AWAL:JUMAT2B,ROWS(AWAL:JUMAT2B),0),DATAMAPEL,2,0),"")</f>
        <v/>
      </c>
      <c r="K28" s="8" t="str">
        <f>IFERROR(VLOOKUP(HLOOKUP(KELAS,AWAL:JUMAT2B,ROWS(AWAL:JUMAT2B)-1,0),DATAGURU,2,0),"")</f>
        <v/>
      </c>
    </row>
    <row r="29" spans="1:11" ht="23.1" customHeight="1" thickTop="1" thickBot="1" x14ac:dyDescent="0.35">
      <c r="A29" s="216"/>
      <c r="B29" s="7">
        <f>'JADWAL UMUM'!B30</f>
        <v>3</v>
      </c>
      <c r="C29" s="13" t="str">
        <f>'JADWAL UMUM'!$C$16</f>
        <v>08:00 - 08:45</v>
      </c>
      <c r="D29" s="15" t="str">
        <f>IFERROR(VLOOKUP(HLOOKUP(KELAS,AWAL:SELASA3B,ROWS(AWAL:SELASA3B),0),DATAMAPEL,2,0),"")</f>
        <v/>
      </c>
      <c r="E29" s="8" t="str">
        <f>IFERROR(VLOOKUP(HLOOKUP(KELAS,AWAL:SELASA3B,ROWS(AWAL:SELASA3B)-1,0),DATAGURU,2,0),"")</f>
        <v/>
      </c>
      <c r="F29" s="69"/>
      <c r="G29" s="216"/>
      <c r="H29" s="7">
        <f>'JADWAL UMUM'!B74</f>
        <v>0</v>
      </c>
      <c r="I29" s="13" t="str">
        <f>'JADWAL UMUM'!$C$16</f>
        <v>08:00 - 08:45</v>
      </c>
      <c r="J29" s="15" t="str">
        <f>IFERROR(VLOOKUP(HLOOKUP(KELAS,AWAL:JUMAT3B,ROWS(AWAL:JUMAT3B),0),DATAMAPEL,2,0),"")</f>
        <v/>
      </c>
      <c r="K29" s="8" t="str">
        <f>IFERROR(VLOOKUP(HLOOKUP(KELAS,AWAL:JUMAT3B,ROWS(AWAL:JUMAT3B)-1,0),DATAGURU,2,0),"")</f>
        <v/>
      </c>
    </row>
    <row r="30" spans="1:11" ht="23.1" customHeight="1" thickTop="1" thickBot="1" x14ac:dyDescent="0.35">
      <c r="A30" s="216"/>
      <c r="B30" s="7">
        <f>'JADWAL UMUM'!B32</f>
        <v>0</v>
      </c>
      <c r="C30" s="13" t="str">
        <f>'JADWAL UMUM'!$C$17</f>
        <v>08:45 - 09:30</v>
      </c>
      <c r="D30" s="15" t="str">
        <f>IFERROR(VLOOKUP(HLOOKUP(KELAS,AWAL:SELASA4B,ROWS(AWAL:SELASA4B),0),DATAMAPEL,2,0),"")</f>
        <v/>
      </c>
      <c r="E30" s="8" t="str">
        <f>IFERROR(VLOOKUP(HLOOKUP(KELAS,AWAL:SELASA4B,ROWS(AWAL:SELASA4B)-1,0),DATAGURU,2,0),"")</f>
        <v/>
      </c>
      <c r="F30" s="69"/>
      <c r="G30" s="216"/>
      <c r="H30" s="7">
        <f>'JADWAL UMUM'!B76</f>
        <v>6</v>
      </c>
      <c r="I30" s="13" t="str">
        <f>'JADWAL UMUM'!$C$17</f>
        <v>08:45 - 09:30</v>
      </c>
      <c r="J30" s="15" t="str">
        <f>IFERROR(VLOOKUP(HLOOKUP(KELAS,AWAL:JUMAT4B,ROWS(AWAL:JUMAT4B),0),DATAMAPEL,2,0),"")</f>
        <v/>
      </c>
      <c r="K30" s="8" t="str">
        <f>IFERROR(VLOOKUP(HLOOKUP(KELAS,AWAL:JUMAT4B,ROWS(AWAL:JUMAT4B)-1,0),DATAGURU,2,0),"")</f>
        <v/>
      </c>
    </row>
    <row r="31" spans="1:11" ht="23.1" customHeight="1" thickTop="1" thickBot="1" x14ac:dyDescent="0.35">
      <c r="A31" s="216"/>
      <c r="B31" s="7"/>
      <c r="C31" s="13" t="str">
        <f>'JADWAL UMUM'!$C$18</f>
        <v>09:30 - 09:50</v>
      </c>
      <c r="D31" s="235" t="s">
        <v>18</v>
      </c>
      <c r="E31" s="236"/>
      <c r="F31" s="69"/>
      <c r="G31" s="216"/>
      <c r="H31" s="7"/>
      <c r="I31" s="13" t="str">
        <f>'JADWAL UMUM'!$C$18</f>
        <v>09:30 - 09:50</v>
      </c>
      <c r="J31" s="235" t="s">
        <v>18</v>
      </c>
      <c r="K31" s="236"/>
    </row>
    <row r="32" spans="1:11" ht="23.1" customHeight="1" thickTop="1" thickBot="1" x14ac:dyDescent="0.35">
      <c r="A32" s="216"/>
      <c r="B32" s="7">
        <f>'JADWAL UMUM'!B35</f>
        <v>7</v>
      </c>
      <c r="C32" s="13" t="str">
        <f>'JADWAL UMUM'!$C$19</f>
        <v>09:50 - 10:35</v>
      </c>
      <c r="D32" s="15" t="str">
        <f>IFERROR(VLOOKUP(HLOOKUP(KELAS,AWAL:SELASA5B,ROWS(AWAL:SELASA5B),0),DATAMAPEL,2,0),"")</f>
        <v/>
      </c>
      <c r="E32" s="8" t="str">
        <f>IFERROR(VLOOKUP(HLOOKUP(KELAS,AWAL:SELASA5B,ROWS(AWAL:SELASA5B)-1,0),DATAGURU,2,0),"")</f>
        <v/>
      </c>
      <c r="F32" s="69"/>
      <c r="G32" s="216"/>
      <c r="H32" s="7">
        <f>'JADWAL UMUM'!B79</f>
        <v>8</v>
      </c>
      <c r="I32" s="13" t="str">
        <f>'JADWAL UMUM'!$C$19</f>
        <v>09:50 - 10:35</v>
      </c>
      <c r="J32" s="15" t="str">
        <f>IFERROR(VLOOKUP(HLOOKUP(KELAS,AWAL:JUMAT5B,ROWS(AWAL:JUMAT5B),0),DATAMAPEL,2,0),"")</f>
        <v/>
      </c>
      <c r="K32" s="8" t="str">
        <f>IFERROR(VLOOKUP(HLOOKUP(KELAS,AWAL:JUMAT5B,ROWS(AWAL:JUMAT5B)-1,0),DATAGURU,2,0),"")</f>
        <v/>
      </c>
    </row>
    <row r="33" spans="1:11" ht="23.1" customHeight="1" thickTop="1" thickBot="1" x14ac:dyDescent="0.35">
      <c r="A33" s="216"/>
      <c r="B33" s="7">
        <f>'JADWAL UMUM'!B37</f>
        <v>8</v>
      </c>
      <c r="C33" s="13" t="str">
        <f>'JADWAL UMUM'!$C$20</f>
        <v>10:35 - 11:20</v>
      </c>
      <c r="D33" s="15" t="str">
        <f>IFERROR(VLOOKUP(HLOOKUP(KELAS,AWAL:SELASA6B,ROWS(AWAL:SELASA6B),0),DATAMAPEL,2,0),"")</f>
        <v/>
      </c>
      <c r="E33" s="8" t="str">
        <f>IFERROR(VLOOKUP(HLOOKUP(KELAS,AWAL:SELASA6B,ROWS(AWAL:SELASA6B)-1,0),DATAGURU,2,0),"")</f>
        <v/>
      </c>
      <c r="F33" s="69"/>
      <c r="G33" s="216"/>
      <c r="H33" s="7">
        <f>'JADWAL UMUM'!B81</f>
        <v>10</v>
      </c>
      <c r="I33" s="13" t="str">
        <f>'JADWAL UMUM'!$C$20</f>
        <v>10:35 - 11:20</v>
      </c>
      <c r="J33" s="15" t="str">
        <f>IFERROR(VLOOKUP(HLOOKUP(KELAS,AWAL:JUMAT6B,ROWS(AWAL:JUMAT6B),0),DATAMAPEL,2,0),"")</f>
        <v/>
      </c>
      <c r="K33" s="8" t="str">
        <f>IFERROR(VLOOKUP(HLOOKUP(KELAS,AWAL:JUMAT6B,ROWS(AWAL:JUMAT6B)-1,0),DATAGURU,2,0),"")</f>
        <v/>
      </c>
    </row>
    <row r="34" spans="1:11" ht="23.1" customHeight="1" thickTop="1" thickBot="1" x14ac:dyDescent="0.35">
      <c r="A34" s="216"/>
      <c r="B34" s="7"/>
      <c r="C34" s="13" t="str">
        <f>'JADWAL UMUM'!$C$22</f>
        <v>12:05 - 12:45</v>
      </c>
      <c r="D34" s="235" t="s">
        <v>18</v>
      </c>
      <c r="E34" s="236"/>
      <c r="F34" s="69"/>
      <c r="G34" s="216"/>
      <c r="H34" s="7"/>
      <c r="I34" s="13" t="str">
        <f>'JADWAL UMUM'!$C$22</f>
        <v>12:05 - 12:45</v>
      </c>
      <c r="J34" s="235" t="s">
        <v>18</v>
      </c>
      <c r="K34" s="236"/>
    </row>
    <row r="35" spans="1:11" ht="23.1" customHeight="1" thickTop="1" thickBot="1" x14ac:dyDescent="0.35">
      <c r="A35" s="216"/>
      <c r="B35" s="7">
        <f>'JADWAL UMUM'!B40</f>
        <v>0</v>
      </c>
      <c r="C35" s="13" t="str">
        <f>'JADWAL UMUM'!$C$21</f>
        <v>11:20 - 12:05</v>
      </c>
      <c r="D35" s="15" t="str">
        <f>IFERROR(VLOOKUP(HLOOKUP(KELAS,AWAL:SELASA7B,ROWS(AWAL:SELASA7B),0),DATAMAPEL,2,0),"")</f>
        <v/>
      </c>
      <c r="E35" s="8" t="str">
        <f>IFERROR(VLOOKUP(HLOOKUP(KELAS,AWAL:SELASA7B,ROWS(AWAL:SELASA7B)-1,0),DATAGURU,2,0),"")</f>
        <v/>
      </c>
      <c r="F35" s="69"/>
      <c r="G35" s="216"/>
      <c r="H35" s="7" t="e">
        <f>'JADWAL UMUM'!#REF!</f>
        <v>#REF!</v>
      </c>
      <c r="I35" s="13" t="str">
        <f>'JADWAL UMUM'!$C$21</f>
        <v>11:20 - 12:05</v>
      </c>
      <c r="J35" s="15" t="str">
        <f>IFERROR(VLOOKUP(HLOOKUP(KELAS,AWAL:JUMAT7B,ROWS(AWAL:JUMAT7B),0),DATAMAPEL,2,0),"")</f>
        <v/>
      </c>
      <c r="K35" s="8" t="str">
        <f>IFERROR(VLOOKUP(HLOOKUP(KELAS,AWAL:JUMAT7B,ROWS(AWAL:JUMAT7B)-1,0),DATAGURU,2,0),"")</f>
        <v/>
      </c>
    </row>
    <row r="36" spans="1:11" ht="23.1" customHeight="1" thickTop="1" thickBot="1" x14ac:dyDescent="0.35">
      <c r="A36" s="216"/>
      <c r="B36" s="7" t="e">
        <f>'JADWAL UMUM'!#REF!</f>
        <v>#REF!</v>
      </c>
      <c r="C36" s="13" t="str">
        <f>'JADWAL UMUM'!$C$23</f>
        <v>12:45 - 13:30</v>
      </c>
      <c r="D36" s="15" t="str">
        <f>IFERROR(VLOOKUP(HLOOKUP(KELAS,AWAL:SELASA8B,ROWS(AWAL:SELASA8B),0),DATAMAPEL,2,0),"")</f>
        <v/>
      </c>
      <c r="E36" s="8" t="str">
        <f>IFERROR(VLOOKUP(HLOOKUP(KELAS,AWAL:SELASA8B,ROWS(AWAL:SELASA8B)-1,0),DATAGURU,2,0),"")</f>
        <v/>
      </c>
      <c r="F36" s="69"/>
      <c r="G36" s="216"/>
      <c r="H36" s="7" t="e">
        <f>'JADWAL UMUM'!#REF!</f>
        <v>#REF!</v>
      </c>
      <c r="I36" s="13" t="str">
        <f>'JADWAL UMUM'!$C$23</f>
        <v>12:45 - 13:30</v>
      </c>
      <c r="J36" s="15" t="str">
        <f>IFERROR(VLOOKUP(HLOOKUP(KELAS,AWAL:JUMAT8B,ROWS(AWAL:JUMAT8B),0),DATAMAPEL,2,0),"")</f>
        <v/>
      </c>
      <c r="K36" s="8" t="str">
        <f>IFERROR(VLOOKUP(HLOOKUP(KELAS,AWAL:JUMAT8B,ROWS(AWAL:JUMAT8B)-1,0),DATAGURU,2,0),"")</f>
        <v/>
      </c>
    </row>
    <row r="37" spans="1:11" ht="23.1" customHeight="1" thickTop="1" thickBot="1" x14ac:dyDescent="0.35">
      <c r="A37" s="216"/>
      <c r="B37" s="7" t="e">
        <f>'JADWAL UMUM'!#REF!</f>
        <v>#REF!</v>
      </c>
      <c r="C37" s="13" t="str">
        <f>'JADWAL UMUM'!$C$24</f>
        <v>13:30 - 14:15</v>
      </c>
      <c r="D37" s="15" t="str">
        <f>IFERROR(VLOOKUP(HLOOKUP(KELAS,AWAL:SELASA9B,ROWS(AWAL:SELASA9B),0),DATAMAPEL,2,0),"")</f>
        <v/>
      </c>
      <c r="E37" s="8" t="str">
        <f>IFERROR(VLOOKUP(HLOOKUP(KELAS,AWAL:SELASA9B,ROWS(AWAL:SELASA9B)-1,0),DATAGURU,2,0),"")</f>
        <v/>
      </c>
      <c r="F37" s="69"/>
      <c r="G37" s="216"/>
      <c r="H37" s="7" t="e">
        <f>'JADWAL UMUM'!#REF!</f>
        <v>#REF!</v>
      </c>
      <c r="I37" s="13" t="str">
        <f>'JADWAL UMUM'!$C$24</f>
        <v>13:30 - 14:15</v>
      </c>
      <c r="J37" s="15" t="str">
        <f>IFERROR(VLOOKUP(HLOOKUP(KELAS,AWAL:JUMAT9B,ROWS(AWAL:JUMAT9B),0),DATAMAPEL,2,0),"")</f>
        <v/>
      </c>
      <c r="K37" s="8" t="str">
        <f>IFERROR(VLOOKUP(HLOOKUP(KELAS,AWAL:JUMAT9B,ROWS(AWAL:JUMAT9B)-1,0),DATAGURU,2,0),"")</f>
        <v/>
      </c>
    </row>
    <row r="38" spans="1:11" ht="23.1" customHeight="1" thickTop="1" thickBot="1" x14ac:dyDescent="0.35">
      <c r="A38" s="216"/>
      <c r="B38" s="9" t="e">
        <f>'JADWAL UMUM'!#REF!</f>
        <v>#REF!</v>
      </c>
      <c r="C38" s="14" t="str">
        <f>'JADWAL UMUM'!$C$25</f>
        <v>14:15 - 15:00</v>
      </c>
      <c r="D38" s="16" t="str">
        <f>IFERROR(VLOOKUP(HLOOKUP(KELAS,AWAL:SELASA10B,ROWS(AWAL:SELASA10B),0),DATAMAPEL,2,0),"")</f>
        <v/>
      </c>
      <c r="E38" s="10" t="str">
        <f>IFERROR(VLOOKUP(HLOOKUP(KELAS,AWAL:SELASA10B,ROWS(AWAL:SELASA10B)-1,0),DATAGURU,2,0),"")</f>
        <v/>
      </c>
      <c r="F38" s="69"/>
      <c r="G38" s="216"/>
      <c r="H38" s="9" t="e">
        <f>'JADWAL UMUM'!#REF!</f>
        <v>#REF!</v>
      </c>
      <c r="I38" s="14" t="str">
        <f>'JADWAL UMUM'!$C$25</f>
        <v>14:15 - 15:00</v>
      </c>
      <c r="J38" s="16" t="str">
        <f>IFERROR(VLOOKUP(HLOOKUP(KELAS,AWAL:JUMAT10B,ROWS(AWAL:JUMAT10B),0),DATAMAPEL,2,0),"")</f>
        <v/>
      </c>
      <c r="K38" s="10" t="str">
        <f>IFERROR(VLOOKUP(HLOOKUP(KELAS,AWAL:JUMAT10B,ROWS(AWAL:JUMAT10B)-1,0),DATAGURU,2,0),"")</f>
        <v/>
      </c>
    </row>
    <row r="39" spans="1:11" ht="23.1" customHeight="1" thickTop="1" thickBot="1" x14ac:dyDescent="0.35">
      <c r="A39" s="216" t="s">
        <v>20</v>
      </c>
      <c r="B39" s="5">
        <f>'JADWAL UMUM'!B42</f>
        <v>1</v>
      </c>
      <c r="C39" s="12" t="e">
        <f>'JADWAL UMUM'!#REF!</f>
        <v>#REF!</v>
      </c>
      <c r="D39" s="17" t="str">
        <f>IFERROR(VLOOKUP(HLOOKUP(KELAS,AWAL:RABU1B,ROWS(AWAL:RABU1B),0),DATAMAPEL,2,0),"")</f>
        <v/>
      </c>
      <c r="E39" s="6" t="str">
        <f>IFERROR(VLOOKUP(HLOOKUP(KELAS,AWAL:RABU1B,ROWS(AWAL:RABU1B)-1,0),DATAGURU,2,0),"")</f>
        <v/>
      </c>
      <c r="F39" s="69"/>
      <c r="G39" s="216" t="s">
        <v>87</v>
      </c>
      <c r="H39" s="5" t="e">
        <f>'JADWAL UMUM'!#REF!</f>
        <v>#REF!</v>
      </c>
      <c r="I39" s="12" t="e">
        <f>'JADWAL UMUM'!#REF!</f>
        <v>#REF!</v>
      </c>
      <c r="J39" s="17" t="str">
        <f>IFERROR(VLOOKUP(HLOOKUP(KELAS,AWAL:SABTU1B,ROWS(AWAL:SABTU1B),0),DATAMAPEL,2,0),"")</f>
        <v/>
      </c>
      <c r="K39" s="6" t="str">
        <f>IFERROR(VLOOKUP(HLOOKUP(KELAS,AWAL:SABTU1B,ROWS(AWAL:SABTU1B)-1,0),DATAGURU,2,0),"")</f>
        <v/>
      </c>
    </row>
    <row r="40" spans="1:11" ht="23.1" customHeight="1" thickTop="1" thickBot="1" x14ac:dyDescent="0.35">
      <c r="A40" s="216"/>
      <c r="B40" s="7">
        <f>'JADWAL UMUM'!B44</f>
        <v>3</v>
      </c>
      <c r="C40" s="13" t="str">
        <f>'JADWAL UMUM'!$C$15</f>
        <v>07:15 - 08:00</v>
      </c>
      <c r="D40" s="15" t="str">
        <f>IFERROR(VLOOKUP(HLOOKUP(KELAS,AWAL:RABU2B,ROWS(AWAL:RABU2B),0),DATAMAPEL,2,0),"")</f>
        <v/>
      </c>
      <c r="E40" s="8" t="str">
        <f>IFERROR(VLOOKUP(HLOOKUP(KELAS,AWAL:RABU2B,ROWS(AWAL:RABU2B)-1,0),DATAGURU,2,0),"")</f>
        <v/>
      </c>
      <c r="F40" s="69"/>
      <c r="G40" s="216"/>
      <c r="H40" s="7" t="e">
        <f>'JADWAL UMUM'!#REF!</f>
        <v>#REF!</v>
      </c>
      <c r="I40" s="13" t="str">
        <f>'JADWAL UMUM'!$C$15</f>
        <v>07:15 - 08:00</v>
      </c>
      <c r="J40" s="15" t="str">
        <f>IFERROR(VLOOKUP(HLOOKUP(KELAS,AWAL:SABTU2B,ROWS(AWAL:SABTU2B),0),DATAMAPEL,2,0),"")</f>
        <v/>
      </c>
      <c r="K40" s="8" t="str">
        <f>IFERROR(VLOOKUP(HLOOKUP(KELAS,AWAL:SABTU2B,ROWS(AWAL:SABTU2B)-1,0),DATAGURU,2,0),"")</f>
        <v/>
      </c>
    </row>
    <row r="41" spans="1:11" ht="23.1" customHeight="1" thickTop="1" thickBot="1" x14ac:dyDescent="0.35">
      <c r="A41" s="216"/>
      <c r="B41" s="7">
        <f>'JADWAL UMUM'!B46</f>
        <v>0</v>
      </c>
      <c r="C41" s="13" t="str">
        <f>'JADWAL UMUM'!$C$16</f>
        <v>08:00 - 08:45</v>
      </c>
      <c r="D41" s="15" t="str">
        <f>IFERROR(VLOOKUP(HLOOKUP(KELAS,AWAL:RABU3B,ROWS(AWAL:RABU3B),0),DATAMAPEL,2,0),"")</f>
        <v/>
      </c>
      <c r="E41" s="8" t="str">
        <f>IFERROR(VLOOKUP(HLOOKUP(KELAS,AWAL:RABU3B,ROWS(AWAL:RABU3B)-1,0),DATAGURU,2,0),"")</f>
        <v/>
      </c>
      <c r="F41" s="69"/>
      <c r="G41" s="216"/>
      <c r="H41" s="7" t="e">
        <f>'JADWAL UMUM'!#REF!</f>
        <v>#REF!</v>
      </c>
      <c r="I41" s="13" t="str">
        <f>'JADWAL UMUM'!$C$16</f>
        <v>08:00 - 08:45</v>
      </c>
      <c r="J41" s="15" t="str">
        <f>IFERROR(VLOOKUP(HLOOKUP(KELAS,AWAL:SABTU3B,ROWS(AWAL:SABTU3B),0),DATAMAPEL,2,0),"")</f>
        <v/>
      </c>
      <c r="K41" s="8" t="str">
        <f>IFERROR(VLOOKUP(HLOOKUP(KELAS,AWAL:SABTU3B,ROWS(AWAL:SABTU3B)-1,0),DATAGURU,2,0),"")</f>
        <v/>
      </c>
    </row>
    <row r="42" spans="1:11" ht="23.1" customHeight="1" thickTop="1" thickBot="1" x14ac:dyDescent="0.35">
      <c r="A42" s="216"/>
      <c r="B42" s="7">
        <f>'JADWAL UMUM'!B48</f>
        <v>6</v>
      </c>
      <c r="C42" s="13" t="str">
        <f>'JADWAL UMUM'!$C$17</f>
        <v>08:45 - 09:30</v>
      </c>
      <c r="D42" s="15" t="str">
        <f>IFERROR(VLOOKUP(HLOOKUP(KELAS,AWAL:RABU4B,ROWS(AWAL:RABU4B),0),DATAMAPEL,2,0),"")</f>
        <v/>
      </c>
      <c r="E42" s="8" t="str">
        <f>IFERROR(VLOOKUP(HLOOKUP(KELAS,AWAL:RABU4B,ROWS(AWAL:RABU4B)-1,0),DATAGURU,2,0),"")</f>
        <v/>
      </c>
      <c r="F42" s="69"/>
      <c r="G42" s="216"/>
      <c r="H42" s="7" t="e">
        <f>'JADWAL UMUM'!#REF!</f>
        <v>#REF!</v>
      </c>
      <c r="I42" s="13" t="str">
        <f>'JADWAL UMUM'!$C$17</f>
        <v>08:45 - 09:30</v>
      </c>
      <c r="J42" s="15" t="str">
        <f>IFERROR(VLOOKUP(HLOOKUP(KELAS,AWAL:SABTU4B,ROWS(AWAL:SABTU4B),0),DATAMAPEL,2,0),"")</f>
        <v/>
      </c>
      <c r="K42" s="8" t="str">
        <f>IFERROR(VLOOKUP(HLOOKUP(KELAS,AWAL:SABTU4B,ROWS(AWAL:SABTU4B)-1,0),DATAGURU,2,0),"")</f>
        <v/>
      </c>
    </row>
    <row r="43" spans="1:11" ht="23.1" customHeight="1" thickTop="1" thickBot="1" x14ac:dyDescent="0.35">
      <c r="A43" s="216"/>
      <c r="B43" s="7"/>
      <c r="C43" s="13" t="str">
        <f>'JADWAL UMUM'!$C$18</f>
        <v>09:30 - 09:50</v>
      </c>
      <c r="D43" s="235" t="s">
        <v>18</v>
      </c>
      <c r="E43" s="236"/>
      <c r="F43" s="69"/>
      <c r="G43" s="216"/>
      <c r="H43" s="7"/>
      <c r="I43" s="13" t="str">
        <f>'JADWAL UMUM'!$C$18</f>
        <v>09:30 - 09:50</v>
      </c>
      <c r="J43" s="235" t="s">
        <v>18</v>
      </c>
      <c r="K43" s="236"/>
    </row>
    <row r="44" spans="1:11" ht="23.1" customHeight="1" thickTop="1" thickBot="1" x14ac:dyDescent="0.35">
      <c r="A44" s="216"/>
      <c r="B44" s="7">
        <f>'JADWAL UMUM'!B51</f>
        <v>8</v>
      </c>
      <c r="C44" s="13" t="str">
        <f>'JADWAL UMUM'!$C$19</f>
        <v>09:50 - 10:35</v>
      </c>
      <c r="D44" s="15" t="str">
        <f>IFERROR(VLOOKUP(HLOOKUP(KELAS,AWAL:RABU5B,ROWS(AWAL:RABU5B),0),DATAMAPEL,2,0),"")</f>
        <v/>
      </c>
      <c r="E44" s="8" t="str">
        <f>IFERROR(VLOOKUP(HLOOKUP(KELAS,AWAL:RABU5B,ROWS(AWAL:RABU5B)-1,0),DATAGURU,2,0),"")</f>
        <v/>
      </c>
      <c r="F44" s="69"/>
      <c r="G44" s="216"/>
      <c r="H44" s="7" t="e">
        <f>'JADWAL UMUM'!#REF!</f>
        <v>#REF!</v>
      </c>
      <c r="I44" s="13" t="str">
        <f>'JADWAL UMUM'!$C$19</f>
        <v>09:50 - 10:35</v>
      </c>
      <c r="J44" s="15" t="str">
        <f>IFERROR(VLOOKUP(HLOOKUP(KELAS,AWAL:SABTU5B,ROWS(AWAL:SABTU5B),0),DATAMAPEL,2,0),"")</f>
        <v/>
      </c>
      <c r="K44" s="8" t="str">
        <f>IFERROR(VLOOKUP(HLOOKUP(KELAS,AWAL:SABTU5B,ROWS(AWAL:SABTU5B)-1,0),DATAGURU,2,0),"")</f>
        <v/>
      </c>
    </row>
    <row r="45" spans="1:11" ht="23.1" customHeight="1" thickTop="1" thickBot="1" x14ac:dyDescent="0.35">
      <c r="A45" s="216"/>
      <c r="B45" s="7">
        <f>'JADWAL UMUM'!B53</f>
        <v>10</v>
      </c>
      <c r="C45" s="13" t="str">
        <f>'JADWAL UMUM'!$C$20</f>
        <v>10:35 - 11:20</v>
      </c>
      <c r="D45" s="15" t="str">
        <f>IFERROR(VLOOKUP(HLOOKUP(KELAS,AWAL:RABU6B,ROWS(AWAL:RABU6B),0),DATAMAPEL,2,0),"")</f>
        <v/>
      </c>
      <c r="E45" s="8" t="str">
        <f>IFERROR(VLOOKUP(HLOOKUP(KELAS,AWAL:RABU6B,ROWS(AWAL:RABU6B)-1,0),DATAGURU,2,0),"")</f>
        <v/>
      </c>
      <c r="F45" s="69"/>
      <c r="G45" s="216"/>
      <c r="H45" s="7" t="e">
        <f>'JADWAL UMUM'!#REF!</f>
        <v>#REF!</v>
      </c>
      <c r="I45" s="13" t="str">
        <f>'JADWAL UMUM'!$C$20</f>
        <v>10:35 - 11:20</v>
      </c>
      <c r="J45" s="15" t="str">
        <f>IFERROR(VLOOKUP(HLOOKUP(KELAS,AWAL:SABTU6B,ROWS(AWAL:SABTU6B),0),DATAMAPEL,2,0),"")</f>
        <v/>
      </c>
      <c r="K45" s="8" t="str">
        <f>IFERROR(VLOOKUP(HLOOKUP(KELAS,AWAL:SABTU6B,ROWS(AWAL:SABTU6B)-1,0),DATAGURU,2,0),"")</f>
        <v/>
      </c>
    </row>
    <row r="46" spans="1:11" ht="23.1" customHeight="1" thickTop="1" thickBot="1" x14ac:dyDescent="0.35">
      <c r="A46" s="216"/>
      <c r="B46" s="7"/>
      <c r="C46" s="13" t="str">
        <f>'JADWAL UMUM'!$C$22</f>
        <v>12:05 - 12:45</v>
      </c>
      <c r="D46" s="235" t="s">
        <v>18</v>
      </c>
      <c r="E46" s="236"/>
      <c r="F46" s="69"/>
      <c r="G46" s="216"/>
      <c r="H46" s="7"/>
      <c r="I46" s="13" t="str">
        <f>'JADWAL UMUM'!$C$22</f>
        <v>12:05 - 12:45</v>
      </c>
      <c r="J46" s="235" t="s">
        <v>18</v>
      </c>
      <c r="K46" s="236"/>
    </row>
    <row r="47" spans="1:11" ht="23.1" customHeight="1" thickTop="1" thickBot="1" x14ac:dyDescent="0.35">
      <c r="A47" s="216"/>
      <c r="B47" s="7" t="e">
        <f>'JADWAL UMUM'!#REF!</f>
        <v>#REF!</v>
      </c>
      <c r="C47" s="13" t="str">
        <f>'JADWAL UMUM'!$C$21</f>
        <v>11:20 - 12:05</v>
      </c>
      <c r="D47" s="15" t="str">
        <f>IFERROR(VLOOKUP(HLOOKUP(KELAS,AWAL:RABU7B,ROWS(AWAL:RABU7B),0),DATAMAPEL,2,0),"")</f>
        <v/>
      </c>
      <c r="E47" s="8" t="str">
        <f>IFERROR(VLOOKUP(HLOOKUP(KELAS,AWAL:RABU7B,ROWS(AWAL:RABU7B)-1,0),DATAGURU,2,0),"")</f>
        <v/>
      </c>
      <c r="F47" s="69"/>
      <c r="G47" s="216"/>
      <c r="H47" s="7" t="e">
        <f>'JADWAL UMUM'!#REF!</f>
        <v>#REF!</v>
      </c>
      <c r="I47" s="13" t="str">
        <f>'JADWAL UMUM'!$C$21</f>
        <v>11:20 - 12:05</v>
      </c>
      <c r="J47" s="15" t="str">
        <f>IFERROR(VLOOKUP(HLOOKUP(KELAS,AWAL:SABTU7B,ROWS(AWAL:SABTU7B),0),DATAMAPEL,2,0),"")</f>
        <v/>
      </c>
      <c r="K47" s="8" t="str">
        <f>IFERROR(VLOOKUP(HLOOKUP(KELAS,AWAL:SABTU7B,ROWS(AWAL:SABTU7B)-1,0),DATAGURU,2,0),"")</f>
        <v/>
      </c>
    </row>
    <row r="48" spans="1:11" ht="23.1" customHeight="1" thickTop="1" thickBot="1" x14ac:dyDescent="0.35">
      <c r="A48" s="216"/>
      <c r="B48" s="7" t="e">
        <f>'JADWAL UMUM'!#REF!</f>
        <v>#REF!</v>
      </c>
      <c r="C48" s="13" t="str">
        <f>'JADWAL UMUM'!$C$23</f>
        <v>12:45 - 13:30</v>
      </c>
      <c r="D48" s="15" t="str">
        <f>IFERROR(VLOOKUP(HLOOKUP(KELAS,AWAL:RABU8B,ROWS(AWAL:RABU8B),0),DATAMAPEL,2,0),"")</f>
        <v/>
      </c>
      <c r="E48" s="8" t="str">
        <f>IFERROR(VLOOKUP(HLOOKUP(KELAS,AWAL:RABU8B,ROWS(AWAL:RABU8B)-1,0),DATAGURU,2,0),"")</f>
        <v/>
      </c>
      <c r="F48" s="69"/>
      <c r="G48" s="216"/>
      <c r="H48" s="7" t="e">
        <f>'JADWAL UMUM'!#REF!</f>
        <v>#REF!</v>
      </c>
      <c r="I48" s="13" t="str">
        <f>'JADWAL UMUM'!$C$23</f>
        <v>12:45 - 13:30</v>
      </c>
      <c r="J48" s="15" t="str">
        <f>IFERROR(VLOOKUP(HLOOKUP(KELAS,AWAL:SABTU8B,ROWS(AWAL:SABTU8B),0),DATAMAPEL,2,0),"")</f>
        <v/>
      </c>
      <c r="K48" s="8" t="str">
        <f>IFERROR(VLOOKUP(HLOOKUP(KELAS,AWAL:SABTU8B,ROWS(AWAL:SABTU8B)-1,0),DATAGURU,2,0),"")</f>
        <v/>
      </c>
    </row>
    <row r="49" spans="1:11" ht="23.1" customHeight="1" thickTop="1" thickBot="1" x14ac:dyDescent="0.35">
      <c r="A49" s="216"/>
      <c r="B49" s="7" t="e">
        <f>'JADWAL UMUM'!#REF!</f>
        <v>#REF!</v>
      </c>
      <c r="C49" s="13" t="str">
        <f>'JADWAL UMUM'!$C$24</f>
        <v>13:30 - 14:15</v>
      </c>
      <c r="D49" s="15" t="str">
        <f>IFERROR(VLOOKUP(HLOOKUP(KELAS,AWAL:RABU9B,ROWS(AWAL:RABU9B),0),DATAMAPEL,2,0),"")</f>
        <v/>
      </c>
      <c r="E49" s="8" t="str">
        <f>IFERROR(VLOOKUP(HLOOKUP(KELAS,AWAL:RABU9B,ROWS(AWAL:RABU9B)-1,0),DATAGURU,2,0),"")</f>
        <v/>
      </c>
      <c r="F49" s="69"/>
      <c r="G49" s="216"/>
      <c r="H49" s="7" t="e">
        <f>'JADWAL UMUM'!#REF!</f>
        <v>#REF!</v>
      </c>
      <c r="I49" s="13" t="str">
        <f>'JADWAL UMUM'!$C$24</f>
        <v>13:30 - 14:15</v>
      </c>
      <c r="J49" s="15" t="str">
        <f>IFERROR(VLOOKUP(HLOOKUP(KELAS,AWAL:SABTU9B,ROWS(AWAL:SABTU9B),0),DATAMAPEL,2,0),"")</f>
        <v/>
      </c>
      <c r="K49" s="8" t="str">
        <f>IFERROR(VLOOKUP(HLOOKUP(KELAS,AWAL:SABTU9B,ROWS(AWAL:SABTU9B)-1,0),DATAGURU,2,0),"")</f>
        <v/>
      </c>
    </row>
    <row r="50" spans="1:11" ht="23.1" customHeight="1" thickTop="1" thickBot="1" x14ac:dyDescent="0.35">
      <c r="A50" s="216"/>
      <c r="B50" s="9" t="e">
        <f>'JADWAL UMUM'!#REF!</f>
        <v>#REF!</v>
      </c>
      <c r="C50" s="14" t="str">
        <f>'JADWAL UMUM'!$C$25</f>
        <v>14:15 - 15:00</v>
      </c>
      <c r="D50" s="16" t="str">
        <f>IFERROR(VLOOKUP(HLOOKUP(KELAS,AWAL:RABU10B,ROWS(AWAL:RABU10B),0),DATAMAPEL,2,0),"")</f>
        <v/>
      </c>
      <c r="E50" s="10" t="str">
        <f>IFERROR(VLOOKUP(HLOOKUP(KELAS,AWAL:RABU10B,ROWS(AWAL:RABU10B)-1,0),DATAGURU,2,0),"")</f>
        <v/>
      </c>
      <c r="F50" s="69"/>
      <c r="G50" s="216"/>
      <c r="H50" s="9" t="e">
        <f>'JADWAL UMUM'!#REF!</f>
        <v>#REF!</v>
      </c>
      <c r="I50" s="14" t="str">
        <f>'JADWAL UMUM'!$C$25</f>
        <v>14:15 - 15:00</v>
      </c>
      <c r="J50" s="16" t="str">
        <f>IFERROR(VLOOKUP(HLOOKUP(KELAS,AWAL:SABTU10B,ROWS(AWAL:SABTU10B),0),DATAMAPEL,2,0),"")</f>
        <v/>
      </c>
      <c r="K50" s="10" t="str">
        <f>IFERROR(VLOOKUP(HLOOKUP(KELAS,AWAL:SABTU10B,ROWS(AWAL:SABTU10B)-1,0),DATAGURU,2,0),"")</f>
        <v/>
      </c>
    </row>
    <row r="51" spans="1:11" ht="21" customHeight="1" thickTop="1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</row>
    <row r="52" spans="1:11" ht="21" customHeight="1" x14ac:dyDescent="0.3">
      <c r="A52" s="22"/>
      <c r="B52" s="30"/>
      <c r="C52" s="30"/>
      <c r="D52" s="30"/>
      <c r="E52" s="30"/>
      <c r="F52" s="30"/>
      <c r="G52" s="30"/>
      <c r="H52" s="30"/>
      <c r="I52" s="30"/>
      <c r="J52" s="31">
        <f>'JADWAL UMUM'!T86</f>
        <v>0</v>
      </c>
      <c r="K52" s="30"/>
    </row>
    <row r="53" spans="1:11" ht="21" customHeight="1" x14ac:dyDescent="0.3">
      <c r="A53" s="22"/>
      <c r="B53" s="32" t="str">
        <f>'JADWAL UMUM'!B86</f>
        <v>Mengetahui:</v>
      </c>
      <c r="C53" s="32"/>
      <c r="D53" s="32"/>
      <c r="E53" s="32"/>
      <c r="F53" s="32"/>
      <c r="G53" s="32"/>
      <c r="H53" s="32"/>
      <c r="I53" s="32"/>
      <c r="J53" s="31"/>
      <c r="K53" s="30"/>
    </row>
    <row r="54" spans="1:11" ht="21" customHeight="1" x14ac:dyDescent="0.3">
      <c r="A54" s="22"/>
      <c r="B54" s="32" t="str">
        <f>'JADWAL UMUM'!B87&amp;","</f>
        <v>Kepala Sekolah,</v>
      </c>
      <c r="C54" s="32"/>
      <c r="D54" s="32"/>
      <c r="E54" s="32"/>
      <c r="F54" s="32"/>
      <c r="G54" s="32"/>
      <c r="H54" s="32"/>
      <c r="I54" s="32"/>
      <c r="J54" s="31" t="str">
        <f>'JADWAL UMUM'!T87</f>
        <v>Wakil Kepala Bidang Akademik</v>
      </c>
      <c r="K54" s="30"/>
    </row>
    <row r="55" spans="1:11" ht="21" customHeight="1" x14ac:dyDescent="0.3">
      <c r="A55" s="22"/>
      <c r="B55" s="32"/>
      <c r="C55" s="32"/>
      <c r="D55" s="32"/>
      <c r="E55" s="32"/>
      <c r="F55" s="32"/>
      <c r="G55" s="32"/>
      <c r="H55" s="32"/>
      <c r="I55" s="32"/>
      <c r="J55" s="31"/>
      <c r="K55" s="30"/>
    </row>
    <row r="56" spans="1:11" ht="21" customHeight="1" x14ac:dyDescent="0.3">
      <c r="A56" s="22"/>
      <c r="B56" s="32"/>
      <c r="C56" s="32"/>
      <c r="D56" s="32"/>
      <c r="E56" s="32"/>
      <c r="F56" s="32"/>
      <c r="G56" s="32"/>
      <c r="H56" s="32"/>
      <c r="I56" s="32"/>
      <c r="J56" s="31"/>
      <c r="K56" s="30"/>
    </row>
    <row r="57" spans="1:11" ht="21" customHeight="1" x14ac:dyDescent="0.3">
      <c r="A57" s="22"/>
      <c r="B57" s="32"/>
      <c r="C57" s="32"/>
      <c r="D57" s="32"/>
      <c r="E57" s="32"/>
      <c r="F57" s="32"/>
      <c r="G57" s="32"/>
      <c r="H57" s="32"/>
      <c r="I57" s="32"/>
      <c r="J57" s="31"/>
      <c r="K57" s="30"/>
    </row>
    <row r="58" spans="1:11" ht="21" customHeight="1" x14ac:dyDescent="0.3">
      <c r="A58" s="22"/>
      <c r="B58" s="32"/>
      <c r="C58" s="32"/>
      <c r="D58" s="32"/>
      <c r="E58" s="32"/>
      <c r="F58" s="32"/>
      <c r="G58" s="32"/>
      <c r="H58" s="32"/>
      <c r="I58" s="32"/>
      <c r="J58" s="31"/>
      <c r="K58" s="30"/>
    </row>
    <row r="59" spans="1:11" ht="21" customHeight="1" x14ac:dyDescent="0.3">
      <c r="A59" s="22"/>
      <c r="B59" s="34" t="str">
        <f>'JADWAL UMUM'!B92</f>
        <v>Drs. Sodikin, M.Si</v>
      </c>
      <c r="C59" s="34"/>
      <c r="D59" s="34"/>
      <c r="E59" s="34"/>
      <c r="F59" s="34"/>
      <c r="G59" s="34"/>
      <c r="H59" s="34"/>
      <c r="I59" s="34"/>
      <c r="J59" s="33" t="str">
        <f>'JADWAL UMUM'!T92</f>
        <v>Temy Yulianti, M.Pd</v>
      </c>
      <c r="K59" s="30"/>
    </row>
    <row r="60" spans="1:11" ht="21" customHeight="1" x14ac:dyDescent="0.3">
      <c r="A60" s="22"/>
      <c r="B60" s="32" t="str">
        <f>'JADWAL UMUM'!B93</f>
        <v>NIP. 196810212003121001</v>
      </c>
      <c r="C60" s="32"/>
      <c r="D60" s="32"/>
      <c r="E60" s="32"/>
      <c r="F60" s="32"/>
      <c r="G60" s="32"/>
      <c r="H60" s="32"/>
      <c r="I60" s="32"/>
      <c r="J60" s="31" t="str">
        <f>'JADWAL UMUM'!T93</f>
        <v>NIP. 197712102009122003</v>
      </c>
      <c r="K60" s="30"/>
    </row>
  </sheetData>
  <mergeCells count="36">
    <mergeCell ref="A8:K8"/>
    <mergeCell ref="A9:K9"/>
    <mergeCell ref="A1:K1"/>
    <mergeCell ref="A2:K2"/>
    <mergeCell ref="A3:K3"/>
    <mergeCell ref="A4:K4"/>
    <mergeCell ref="A5:K5"/>
    <mergeCell ref="A6:K6"/>
    <mergeCell ref="J43:K43"/>
    <mergeCell ref="J46:K46"/>
    <mergeCell ref="J13:J14"/>
    <mergeCell ref="K13:K14"/>
    <mergeCell ref="G15:G26"/>
    <mergeCell ref="J19:K19"/>
    <mergeCell ref="J22:K22"/>
    <mergeCell ref="G27:G38"/>
    <mergeCell ref="J31:K31"/>
    <mergeCell ref="J34:K34"/>
    <mergeCell ref="G13:G14"/>
    <mergeCell ref="H13:I13"/>
    <mergeCell ref="G39:G50"/>
    <mergeCell ref="A39:A50"/>
    <mergeCell ref="D43:E43"/>
    <mergeCell ref="D46:E46"/>
    <mergeCell ref="A15:A26"/>
    <mergeCell ref="D19:E19"/>
    <mergeCell ref="D22:E22"/>
    <mergeCell ref="A27:A38"/>
    <mergeCell ref="D31:E31"/>
    <mergeCell ref="D34:E34"/>
    <mergeCell ref="D15:E15"/>
    <mergeCell ref="A11:B11"/>
    <mergeCell ref="A13:A14"/>
    <mergeCell ref="B13:C13"/>
    <mergeCell ref="D13:D14"/>
    <mergeCell ref="E13:E14"/>
  </mergeCells>
  <dataValidations count="1">
    <dataValidation type="list" allowBlank="1" showInputMessage="1" showErrorMessage="1" sqref="I11" xr:uid="{00000000-0002-0000-0200-000000000000}">
      <formula1>$D$77:$AG$77</formula1>
    </dataValidation>
  </dataValidations>
  <printOptions horizontalCentered="1"/>
  <pageMargins left="0.39370078740157483" right="0.39370078740157483" top="0.78740157480314965" bottom="0.39370078740157483" header="0.31496062992125984" footer="0.31496062992125984"/>
  <pageSetup paperSize="9" scale="4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'JADWAL UMUM'!$D$84:$R$84</xm:f>
          </x14:formula1>
          <xm:sqref>C11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6B689-990B-452E-AC6C-DB8407AD2C1A}">
  <sheetPr codeName="Sheet6"/>
  <dimension ref="A1:K97"/>
  <sheetViews>
    <sheetView zoomScale="55" zoomScaleNormal="55" zoomScaleSheetLayoutView="40" workbookViewId="0">
      <selection activeCell="C15" sqref="C15"/>
    </sheetView>
  </sheetViews>
  <sheetFormatPr defaultColWidth="0" defaultRowHeight="15.6" zeroHeight="1" x14ac:dyDescent="0.3"/>
  <cols>
    <col min="1" max="2" width="7.6640625" style="4" customWidth="1"/>
    <col min="3" max="3" width="18.6640625" style="4" customWidth="1"/>
    <col min="4" max="4" width="30.6640625" style="4" customWidth="1"/>
    <col min="5" max="5" width="39.6640625" style="4" customWidth="1"/>
    <col min="6" max="6" width="63" style="4" customWidth="1"/>
    <col min="7" max="7" width="65.88671875" style="4" customWidth="1"/>
    <col min="8" max="9" width="47.109375" style="4" customWidth="1"/>
    <col min="10" max="10" width="18.33203125" style="4" customWidth="1"/>
    <col min="11" max="11" width="30.6640625" style="4" customWidth="1"/>
    <col min="12" max="16384" width="9.109375" style="4" hidden="1"/>
  </cols>
  <sheetData>
    <row r="1" spans="1:11" ht="23.4" x14ac:dyDescent="0.3">
      <c r="A1" s="229" t="str">
        <f>'JADWAL UMUM'!A1:V1</f>
        <v>KEMENTERIAN AGAMA REPUBLIK INDONESIA</v>
      </c>
      <c r="B1" s="229"/>
      <c r="C1" s="229"/>
      <c r="D1" s="229"/>
      <c r="E1" s="229"/>
      <c r="F1" s="229"/>
      <c r="G1" s="229"/>
      <c r="H1" s="229"/>
      <c r="I1" s="229"/>
      <c r="J1" s="229"/>
      <c r="K1" s="93"/>
    </row>
    <row r="2" spans="1:11" ht="23.4" x14ac:dyDescent="0.3">
      <c r="A2" s="229" t="str">
        <f>'JADWAL UMUM'!A2:V2</f>
        <v>KANTOR KEMENTERIAN AGAMA KOTA JAKARTA TIMUR</v>
      </c>
      <c r="B2" s="229"/>
      <c r="C2" s="229"/>
      <c r="D2" s="229"/>
      <c r="E2" s="229"/>
      <c r="F2" s="229"/>
      <c r="G2" s="229"/>
      <c r="H2" s="229"/>
      <c r="I2" s="229"/>
      <c r="J2" s="229"/>
      <c r="K2" s="93"/>
    </row>
    <row r="3" spans="1:11" ht="36.6" x14ac:dyDescent="0.3">
      <c r="A3" s="203" t="str">
        <f>'JADWAL UMUM'!A3:V3</f>
        <v>MAN 20 JAKARTA TIMUR</v>
      </c>
      <c r="B3" s="203"/>
      <c r="C3" s="203"/>
      <c r="D3" s="203"/>
      <c r="E3" s="203"/>
      <c r="F3" s="203"/>
      <c r="G3" s="203"/>
      <c r="H3" s="203"/>
      <c r="I3" s="203"/>
      <c r="J3" s="203"/>
      <c r="K3" s="94"/>
    </row>
    <row r="4" spans="1:11" ht="23.4" x14ac:dyDescent="0.3">
      <c r="A4" s="239" t="str">
        <f>'JADWAL UMUM'!A4:V4</f>
        <v>Jl. DR. KRT. Radjiman Widyadiningrat RT 08 RW 07 Jatinegara Cakung</v>
      </c>
      <c r="B4" s="239"/>
      <c r="C4" s="239"/>
      <c r="D4" s="239"/>
      <c r="E4" s="239"/>
      <c r="F4" s="239"/>
      <c r="G4" s="239"/>
      <c r="H4" s="239"/>
      <c r="I4" s="239"/>
      <c r="J4" s="239"/>
      <c r="K4" s="93"/>
    </row>
    <row r="5" spans="1:11" ht="23.4" x14ac:dyDescent="0.3">
      <c r="A5" s="240" t="str">
        <f>'JADWAL UMUM'!A5:V5</f>
        <v>E-Mail: man20jktofficial@gmail.com Website: https://man20jakarta.sch.id/</v>
      </c>
      <c r="B5" s="240"/>
      <c r="C5" s="240"/>
      <c r="D5" s="240"/>
      <c r="E5" s="240"/>
      <c r="F5" s="240"/>
      <c r="G5" s="240"/>
      <c r="H5" s="240"/>
      <c r="I5" s="240"/>
      <c r="J5" s="240"/>
      <c r="K5" s="93"/>
    </row>
    <row r="6" spans="1:11" ht="4.2" customHeight="1" thickBot="1" x14ac:dyDescent="0.35">
      <c r="A6" s="261"/>
      <c r="B6" s="261"/>
      <c r="C6" s="261"/>
      <c r="D6" s="261"/>
      <c r="E6" s="261"/>
      <c r="F6" s="261"/>
      <c r="G6" s="261"/>
      <c r="H6" s="261"/>
      <c r="I6" s="261"/>
      <c r="J6" s="261"/>
      <c r="K6" s="93"/>
    </row>
    <row r="7" spans="1:11" ht="23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93"/>
    </row>
    <row r="8" spans="1:11" ht="23.4" x14ac:dyDescent="0.3">
      <c r="A8" s="229" t="str">
        <f>'JADWAL UMUM'!A8</f>
        <v>JADWAL PELAJARAN SEMESTER GANJIL</v>
      </c>
      <c r="B8" s="229"/>
      <c r="C8" s="229"/>
      <c r="D8" s="229"/>
      <c r="E8" s="229"/>
      <c r="F8" s="229"/>
      <c r="G8" s="229"/>
      <c r="H8" s="229"/>
      <c r="I8" s="229"/>
      <c r="J8" s="229"/>
      <c r="K8" s="93"/>
    </row>
    <row r="9" spans="1:11" ht="23.4" x14ac:dyDescent="0.3">
      <c r="A9" s="229" t="str">
        <f>'JADWAL UMUM'!A9</f>
        <v>TAHUN AJARAN 2026 - 2027</v>
      </c>
      <c r="B9" s="229"/>
      <c r="C9" s="229"/>
      <c r="D9" s="229"/>
      <c r="E9" s="229"/>
      <c r="F9" s="229"/>
      <c r="G9" s="229"/>
      <c r="H9" s="229"/>
      <c r="I9" s="229"/>
      <c r="J9" s="229"/>
      <c r="K9" s="93"/>
    </row>
    <row r="10" spans="1:11" ht="10.199999999999999" customHeight="1" x14ac:dyDescent="0.3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"/>
    </row>
    <row r="11" spans="1:11" ht="21" customHeight="1" x14ac:dyDescent="0.3">
      <c r="A11" s="263" t="s">
        <v>27</v>
      </c>
      <c r="B11" s="263"/>
      <c r="C11" s="66" t="s">
        <v>62</v>
      </c>
      <c r="D11" s="23"/>
      <c r="E11" s="23"/>
      <c r="F11" s="22"/>
      <c r="G11" s="67"/>
      <c r="H11" s="67"/>
      <c r="I11" s="67"/>
      <c r="J11" s="68"/>
      <c r="K11" s="23"/>
    </row>
    <row r="12" spans="1:11" ht="3.6" customHeight="1" thickBot="1" x14ac:dyDescent="0.35">
      <c r="A12" s="23"/>
      <c r="B12" s="23"/>
      <c r="C12" s="23"/>
      <c r="D12" s="23"/>
      <c r="E12" s="23"/>
      <c r="F12" s="22"/>
      <c r="G12" s="23"/>
      <c r="H12" s="23"/>
      <c r="I12" s="23"/>
      <c r="J12" s="23"/>
      <c r="K12" s="23"/>
    </row>
    <row r="13" spans="1:11" ht="24.9" customHeight="1" thickTop="1" x14ac:dyDescent="0.3">
      <c r="A13" s="264" t="s">
        <v>0</v>
      </c>
      <c r="B13" s="266" t="s">
        <v>28</v>
      </c>
      <c r="C13" s="267"/>
      <c r="D13" s="268" t="s">
        <v>15</v>
      </c>
      <c r="E13" s="270" t="s">
        <v>24</v>
      </c>
      <c r="F13" s="233" t="s">
        <v>63</v>
      </c>
      <c r="G13" s="274" t="s">
        <v>64</v>
      </c>
      <c r="H13" s="275"/>
      <c r="I13" s="268"/>
      <c r="J13" s="272" t="s">
        <v>65</v>
      </c>
    </row>
    <row r="14" spans="1:11" ht="50.1" customHeight="1" thickBot="1" x14ac:dyDescent="0.35">
      <c r="A14" s="265"/>
      <c r="B14" s="95" t="s">
        <v>2</v>
      </c>
      <c r="C14" s="92" t="s">
        <v>1</v>
      </c>
      <c r="D14" s="269"/>
      <c r="E14" s="271"/>
      <c r="F14" s="234"/>
      <c r="G14" s="276"/>
      <c r="H14" s="277"/>
      <c r="I14" s="269"/>
      <c r="J14" s="273"/>
    </row>
    <row r="15" spans="1:11" ht="23.1" customHeight="1" thickTop="1" x14ac:dyDescent="0.3">
      <c r="A15" s="242">
        <f>K18</f>
        <v>45866</v>
      </c>
      <c r="B15" s="5">
        <v>1</v>
      </c>
      <c r="C15" s="12" t="e">
        <f>'JADWAL UMUM'!#REF!</f>
        <v>#REF!</v>
      </c>
      <c r="D15" s="237" t="e">
        <f>_xlfn.SINGLE('JADWAL UMUM'!#REF!)</f>
        <v>#REF!</v>
      </c>
      <c r="E15" s="262"/>
      <c r="F15" s="262"/>
      <c r="G15" s="262"/>
      <c r="H15" s="262"/>
      <c r="I15" s="262"/>
      <c r="J15" s="238"/>
    </row>
    <row r="16" spans="1:11" ht="23.1" customHeight="1" x14ac:dyDescent="0.3">
      <c r="A16" s="243"/>
      <c r="B16" s="7">
        <v>2</v>
      </c>
      <c r="C16" s="13" t="str">
        <f>'JADWAL UMUM'!$C$15</f>
        <v>07:15 - 08:00</v>
      </c>
      <c r="D16" s="15" t="str">
        <f>IFERROR(VLOOKUP(HLOOKUP(KELAS,AWAL:SENIN1B,ROWS(AWAL:SENIN1B),0),DATAMAPEL,2,0),"")</f>
        <v/>
      </c>
      <c r="E16" s="83" t="str">
        <f>IFERROR(VLOOKUP(HLOOKUP(KELAS,AWAL:SENIN1B,ROWS(AWAL:SENIN1B)-1,0),DATAGURU,2,0),"")</f>
        <v/>
      </c>
      <c r="F16" s="24"/>
      <c r="G16" s="246"/>
      <c r="H16" s="247"/>
      <c r="I16" s="248"/>
      <c r="J16" s="25"/>
      <c r="K16" s="258" t="s">
        <v>88</v>
      </c>
    </row>
    <row r="17" spans="1:11" ht="23.1" customHeight="1" x14ac:dyDescent="0.3">
      <c r="A17" s="243"/>
      <c r="B17" s="7">
        <v>3</v>
      </c>
      <c r="C17" s="13" t="str">
        <f>'JADWAL UMUM'!$C$16</f>
        <v>08:00 - 08:45</v>
      </c>
      <c r="D17" s="15" t="str">
        <f>IFERROR(VLOOKUP(HLOOKUP(KELAS,AWAL:SENIN2B,ROWS(AWAL:SENIN2B),0),DATAMAPEL,2,0),"")</f>
        <v/>
      </c>
      <c r="E17" s="83" t="str">
        <f>IFERROR(VLOOKUP(HLOOKUP(KELAS,AWAL:SENIN2B,ROWS(AWAL:SENIN2B)-1,0),DATAGURU,2,0),"")</f>
        <v/>
      </c>
      <c r="F17" s="24"/>
      <c r="G17" s="246"/>
      <c r="H17" s="247"/>
      <c r="I17" s="248"/>
      <c r="J17" s="25"/>
      <c r="K17" s="258"/>
    </row>
    <row r="18" spans="1:11" ht="23.1" customHeight="1" x14ac:dyDescent="0.3">
      <c r="A18" s="243"/>
      <c r="B18" s="7">
        <v>4</v>
      </c>
      <c r="C18" s="13" t="str">
        <f>'JADWAL UMUM'!$C$17</f>
        <v>08:45 - 09:30</v>
      </c>
      <c r="D18" s="15" t="str">
        <f>IFERROR(VLOOKUP(HLOOKUP(KELAS,AWAL:SENIN3B,ROWS(AWAL:SENIN3B),0),DATAMAPEL,2,0),"")</f>
        <v/>
      </c>
      <c r="E18" s="83" t="str">
        <f>IFERROR(VLOOKUP(HLOOKUP(KELAS,AWAL:SENIN3B,ROWS(AWAL:SENIN3B)-1,0),DATAGURU,2,0),"")</f>
        <v/>
      </c>
      <c r="F18" s="24"/>
      <c r="G18" s="246"/>
      <c r="H18" s="247"/>
      <c r="I18" s="248"/>
      <c r="J18" s="25"/>
      <c r="K18" s="259">
        <v>45866</v>
      </c>
    </row>
    <row r="19" spans="1:11" ht="23.1" customHeight="1" x14ac:dyDescent="0.3">
      <c r="A19" s="243"/>
      <c r="B19" s="7"/>
      <c r="C19" s="13" t="str">
        <f>'JADWAL UMUM'!$C$18</f>
        <v>09:30 - 09:50</v>
      </c>
      <c r="D19" s="235" t="s">
        <v>18</v>
      </c>
      <c r="E19" s="245"/>
      <c r="F19" s="35"/>
      <c r="G19" s="249"/>
      <c r="H19" s="250"/>
      <c r="I19" s="251"/>
      <c r="J19" s="36"/>
      <c r="K19" s="260"/>
    </row>
    <row r="20" spans="1:11" ht="23.1" customHeight="1" x14ac:dyDescent="0.3">
      <c r="A20" s="243"/>
      <c r="B20" s="7">
        <v>5</v>
      </c>
      <c r="C20" s="13" t="str">
        <f>'JADWAL UMUM'!$C$19</f>
        <v>09:50 - 10:35</v>
      </c>
      <c r="D20" s="15" t="str">
        <f>IFERROR(VLOOKUP(HLOOKUP(KELAS,AWAL:SENIN4B,ROWS(AWAL:SENIN4B),0),DATAMAPEL,2,0),"")</f>
        <v/>
      </c>
      <c r="E20" s="83" t="str">
        <f>IFERROR(VLOOKUP(HLOOKUP(KELAS,AWAL:SENIN4B,ROWS(AWAL:SENIN4B)-1,0),DATAGURU,2,0),"")</f>
        <v/>
      </c>
      <c r="F20" s="24"/>
      <c r="G20" s="246"/>
      <c r="H20" s="247"/>
      <c r="I20" s="248"/>
      <c r="J20" s="25"/>
    </row>
    <row r="21" spans="1:11" ht="23.1" customHeight="1" x14ac:dyDescent="0.3">
      <c r="A21" s="243"/>
      <c r="B21" s="7">
        <v>6</v>
      </c>
      <c r="C21" s="13" t="str">
        <f>'JADWAL UMUM'!$C$20</f>
        <v>10:35 - 11:20</v>
      </c>
      <c r="D21" s="15" t="str">
        <f>IFERROR(VLOOKUP(HLOOKUP(KELAS,AWAL:SENIN5B,ROWS(AWAL:SENIN5B),0),DATAMAPEL,2,0),"")</f>
        <v/>
      </c>
      <c r="E21" s="83" t="str">
        <f>IFERROR(VLOOKUP(HLOOKUP(KELAS,AWAL:SENIN5B,ROWS(AWAL:SENIN5B)-1,0),DATAGURU,2,0),"")</f>
        <v/>
      </c>
      <c r="F21" s="24"/>
      <c r="G21" s="246"/>
      <c r="H21" s="247"/>
      <c r="I21" s="248"/>
      <c r="J21" s="25"/>
    </row>
    <row r="22" spans="1:11" ht="23.1" customHeight="1" x14ac:dyDescent="0.3">
      <c r="A22" s="243"/>
      <c r="B22" s="7"/>
      <c r="C22" s="13" t="str">
        <f>'JADWAL UMUM'!$C$22</f>
        <v>12:05 - 12:45</v>
      </c>
      <c r="D22" s="235" t="s">
        <v>18</v>
      </c>
      <c r="E22" s="245"/>
      <c r="F22" s="35"/>
      <c r="G22" s="249"/>
      <c r="H22" s="250"/>
      <c r="I22" s="251"/>
      <c r="J22" s="36"/>
    </row>
    <row r="23" spans="1:11" ht="23.1" customHeight="1" x14ac:dyDescent="0.3">
      <c r="A23" s="243"/>
      <c r="B23" s="7">
        <v>7</v>
      </c>
      <c r="C23" s="13" t="str">
        <f>'JADWAL UMUM'!$C$21</f>
        <v>11:20 - 12:05</v>
      </c>
      <c r="D23" s="15" t="str">
        <f>IFERROR(VLOOKUP(HLOOKUP(KELAS,AWAL:SENIN6B,ROWS(AWAL:SENIN6B),0),DATAMAPEL,2,0),"")</f>
        <v/>
      </c>
      <c r="E23" s="83" t="str">
        <f>IFERROR(VLOOKUP(HLOOKUP(KELAS,AWAL:SENIN6B,ROWS(AWAL:SENIN6B)-1,0),DATAGURU,2,0),"")</f>
        <v/>
      </c>
      <c r="F23" s="24"/>
      <c r="G23" s="246"/>
      <c r="H23" s="247"/>
      <c r="I23" s="248"/>
      <c r="J23" s="25"/>
    </row>
    <row r="24" spans="1:11" ht="23.1" customHeight="1" x14ac:dyDescent="0.3">
      <c r="A24" s="243"/>
      <c r="B24" s="7">
        <v>8</v>
      </c>
      <c r="C24" s="13" t="str">
        <f>'JADWAL UMUM'!$C$23</f>
        <v>12:45 - 13:30</v>
      </c>
      <c r="D24" s="15" t="str">
        <f>IFERROR(VLOOKUP(HLOOKUP(KELAS,AWAL:SENIN7B,ROWS(AWAL:SENIN7B),0),DATAMAPEL,2,0),"")</f>
        <v/>
      </c>
      <c r="E24" s="83" t="str">
        <f>IFERROR(VLOOKUP(HLOOKUP(KELAS,AWAL:SENIN7B,ROWS(AWAL:SENIN7B)-1,0),DATAGURU,2,0),"")</f>
        <v/>
      </c>
      <c r="F24" s="24"/>
      <c r="G24" s="246"/>
      <c r="H24" s="247"/>
      <c r="I24" s="248"/>
      <c r="J24" s="25"/>
    </row>
    <row r="25" spans="1:11" ht="23.1" customHeight="1" x14ac:dyDescent="0.3">
      <c r="A25" s="243"/>
      <c r="B25" s="7">
        <v>9</v>
      </c>
      <c r="C25" s="13" t="str">
        <f>'JADWAL UMUM'!$C$24</f>
        <v>13:30 - 14:15</v>
      </c>
      <c r="D25" s="15" t="str">
        <f>IFERROR(VLOOKUP(HLOOKUP(KELAS,AWAL:SENIN8B,ROWS(AWAL:SENIN8B),0),DATAMAPEL,2,0),"")</f>
        <v/>
      </c>
      <c r="E25" s="83" t="str">
        <f>IFERROR(VLOOKUP(HLOOKUP(KELAS,AWAL:SENIN8B,ROWS(AWAL:SENIN8B)-1,0),DATAGURU,2,0),"")</f>
        <v/>
      </c>
      <c r="F25" s="24"/>
      <c r="G25" s="246"/>
      <c r="H25" s="247"/>
      <c r="I25" s="248"/>
      <c r="J25" s="25"/>
    </row>
    <row r="26" spans="1:11" ht="23.1" customHeight="1" thickBot="1" x14ac:dyDescent="0.35">
      <c r="A26" s="244"/>
      <c r="B26" s="9">
        <v>10</v>
      </c>
      <c r="C26" s="14" t="str">
        <f>'JADWAL UMUM'!$C$25</f>
        <v>14:15 - 15:00</v>
      </c>
      <c r="D26" s="16" t="str">
        <f>IFERROR(VLOOKUP(HLOOKUP(KELAS,AWAL:SENIN9B,ROWS(AWAL:SENIN9B),0),DATAMAPEL,2,0),"")</f>
        <v/>
      </c>
      <c r="E26" s="84" t="str">
        <f>IFERROR(VLOOKUP(HLOOKUP(KELAS,AWAL:SENIN9B,ROWS(AWAL:SENIN9B)-1,0),DATAGURU,2,0),"")</f>
        <v/>
      </c>
      <c r="F26" s="26"/>
      <c r="G26" s="252"/>
      <c r="H26" s="253"/>
      <c r="I26" s="254"/>
      <c r="J26" s="27"/>
    </row>
    <row r="27" spans="1:11" ht="23.1" customHeight="1" thickTop="1" x14ac:dyDescent="0.3">
      <c r="A27" s="242">
        <f>K18+1</f>
        <v>45867</v>
      </c>
      <c r="B27" s="5">
        <f>'JADWAL UMUM'!B28</f>
        <v>1</v>
      </c>
      <c r="C27" s="12" t="e">
        <f>'JADWAL UMUM'!#REF!</f>
        <v>#REF!</v>
      </c>
      <c r="D27" s="17" t="str">
        <f>IFERROR(VLOOKUP(HLOOKUP(KELAS,AWAL:SELASA1B,ROWS(AWAL:SELASA1B),0),DATAMAPEL,2,0),"")</f>
        <v/>
      </c>
      <c r="E27" s="85" t="str">
        <f>IFERROR(VLOOKUP(HLOOKUP(KELAS,AWAL:SELASA1B,ROWS(AWAL:SELASA1B)-1,0),DATAGURU,2,0),"")</f>
        <v/>
      </c>
      <c r="F27" s="28"/>
      <c r="G27" s="255"/>
      <c r="H27" s="256"/>
      <c r="I27" s="257"/>
      <c r="J27" s="29"/>
    </row>
    <row r="28" spans="1:11" ht="23.1" customHeight="1" x14ac:dyDescent="0.3">
      <c r="A28" s="243"/>
      <c r="B28" s="7">
        <f>'JADWAL UMUM'!B29</f>
        <v>2</v>
      </c>
      <c r="C28" s="13" t="str">
        <f>'JADWAL UMUM'!$C$15</f>
        <v>07:15 - 08:00</v>
      </c>
      <c r="D28" s="15" t="str">
        <f>IFERROR(VLOOKUP(HLOOKUP(KELAS,AWAL:SELASA2B,ROWS(AWAL:SELASA2B),0),DATAMAPEL,2,0),"")</f>
        <v/>
      </c>
      <c r="E28" s="83" t="str">
        <f>IFERROR(VLOOKUP(HLOOKUP(KELAS,AWAL:SELASA2B,ROWS(AWAL:SELASA2B)-1,0),DATAGURU,2,0),"")</f>
        <v/>
      </c>
      <c r="F28" s="24"/>
      <c r="G28" s="246"/>
      <c r="H28" s="247"/>
      <c r="I28" s="248"/>
      <c r="J28" s="25"/>
    </row>
    <row r="29" spans="1:11" ht="23.1" customHeight="1" x14ac:dyDescent="0.3">
      <c r="A29" s="243"/>
      <c r="B29" s="7">
        <f>'JADWAL UMUM'!B30</f>
        <v>3</v>
      </c>
      <c r="C29" s="13" t="str">
        <f>'JADWAL UMUM'!$C$16</f>
        <v>08:00 - 08:45</v>
      </c>
      <c r="D29" s="15" t="str">
        <f>IFERROR(VLOOKUP(HLOOKUP(KELAS,AWAL:SELASA3B,ROWS(AWAL:SELASA3B),0),DATAMAPEL,2,0),"")</f>
        <v/>
      </c>
      <c r="E29" s="83" t="str">
        <f>IFERROR(VLOOKUP(HLOOKUP(KELAS,AWAL:SELASA3B,ROWS(AWAL:SELASA3B)-1,0),DATAGURU,2,0),"")</f>
        <v/>
      </c>
      <c r="F29" s="24"/>
      <c r="G29" s="246"/>
      <c r="H29" s="247"/>
      <c r="I29" s="248"/>
      <c r="J29" s="25"/>
    </row>
    <row r="30" spans="1:11" ht="23.1" customHeight="1" x14ac:dyDescent="0.3">
      <c r="A30" s="243"/>
      <c r="B30" s="7">
        <f>'JADWAL UMUM'!B32</f>
        <v>0</v>
      </c>
      <c r="C30" s="13" t="str">
        <f>'JADWAL UMUM'!$C$17</f>
        <v>08:45 - 09:30</v>
      </c>
      <c r="D30" s="15" t="str">
        <f>IFERROR(VLOOKUP(HLOOKUP(KELAS,AWAL:SELASA4B,ROWS(AWAL:SELASA4B),0),DATAMAPEL,2,0),"")</f>
        <v/>
      </c>
      <c r="E30" s="83" t="str">
        <f>IFERROR(VLOOKUP(HLOOKUP(KELAS,AWAL:SELASA4B,ROWS(AWAL:SELASA4B)-1,0),DATAGURU,2,0),"")</f>
        <v/>
      </c>
      <c r="F30" s="24"/>
      <c r="G30" s="246"/>
      <c r="H30" s="247"/>
      <c r="I30" s="248"/>
      <c r="J30" s="25"/>
    </row>
    <row r="31" spans="1:11" ht="23.1" customHeight="1" x14ac:dyDescent="0.3">
      <c r="A31" s="243"/>
      <c r="B31" s="7"/>
      <c r="C31" s="13" t="str">
        <f>'JADWAL UMUM'!$C$18</f>
        <v>09:30 - 09:50</v>
      </c>
      <c r="D31" s="235" t="s">
        <v>18</v>
      </c>
      <c r="E31" s="245"/>
      <c r="F31" s="35"/>
      <c r="G31" s="249"/>
      <c r="H31" s="250"/>
      <c r="I31" s="251"/>
      <c r="J31" s="36"/>
    </row>
    <row r="32" spans="1:11" ht="23.1" customHeight="1" x14ac:dyDescent="0.3">
      <c r="A32" s="243"/>
      <c r="B32" s="7">
        <f>'JADWAL UMUM'!B35</f>
        <v>7</v>
      </c>
      <c r="C32" s="13" t="str">
        <f>'JADWAL UMUM'!$C$19</f>
        <v>09:50 - 10:35</v>
      </c>
      <c r="D32" s="15" t="str">
        <f>IFERROR(VLOOKUP(HLOOKUP(KELAS,AWAL:SELASA5B,ROWS(AWAL:SELASA5B),0),DATAMAPEL,2,0),"")</f>
        <v/>
      </c>
      <c r="E32" s="83" t="str">
        <f>IFERROR(VLOOKUP(HLOOKUP(KELAS,AWAL:SELASA5B,ROWS(AWAL:SELASA5B)-1,0),DATAGURU,2,0),"")</f>
        <v/>
      </c>
      <c r="F32" s="24"/>
      <c r="G32" s="246"/>
      <c r="H32" s="247"/>
      <c r="I32" s="248"/>
      <c r="J32" s="25"/>
    </row>
    <row r="33" spans="1:10" ht="23.1" customHeight="1" x14ac:dyDescent="0.3">
      <c r="A33" s="243"/>
      <c r="B33" s="7">
        <f>'JADWAL UMUM'!B37</f>
        <v>8</v>
      </c>
      <c r="C33" s="13" t="str">
        <f>'JADWAL UMUM'!$C$20</f>
        <v>10:35 - 11:20</v>
      </c>
      <c r="D33" s="15" t="str">
        <f>IFERROR(VLOOKUP(HLOOKUP(KELAS,AWAL:SELASA6B,ROWS(AWAL:SELASA6B),0),DATAMAPEL,2,0),"")</f>
        <v/>
      </c>
      <c r="E33" s="83" t="str">
        <f>IFERROR(VLOOKUP(HLOOKUP(KELAS,AWAL:SELASA6B,ROWS(AWAL:SELASA6B)-1,0),DATAGURU,2,0),"")</f>
        <v/>
      </c>
      <c r="F33" s="24"/>
      <c r="G33" s="246"/>
      <c r="H33" s="247"/>
      <c r="I33" s="248"/>
      <c r="J33" s="25"/>
    </row>
    <row r="34" spans="1:10" ht="23.1" customHeight="1" x14ac:dyDescent="0.3">
      <c r="A34" s="243"/>
      <c r="B34" s="7"/>
      <c r="C34" s="13" t="str">
        <f>'JADWAL UMUM'!$C$22</f>
        <v>12:05 - 12:45</v>
      </c>
      <c r="D34" s="235" t="s">
        <v>18</v>
      </c>
      <c r="E34" s="245"/>
      <c r="F34" s="35"/>
      <c r="G34" s="249"/>
      <c r="H34" s="250"/>
      <c r="I34" s="251"/>
      <c r="J34" s="36"/>
    </row>
    <row r="35" spans="1:10" ht="23.1" customHeight="1" x14ac:dyDescent="0.3">
      <c r="A35" s="243"/>
      <c r="B35" s="7">
        <f>'JADWAL UMUM'!B40</f>
        <v>0</v>
      </c>
      <c r="C35" s="13" t="str">
        <f>'JADWAL UMUM'!$C$21</f>
        <v>11:20 - 12:05</v>
      </c>
      <c r="D35" s="15" t="str">
        <f>IFERROR(VLOOKUP(HLOOKUP(KELAS,AWAL:SELASA7B,ROWS(AWAL:SELASA7B),0),DATAMAPEL,2,0),"")</f>
        <v/>
      </c>
      <c r="E35" s="83" t="str">
        <f>IFERROR(VLOOKUP(HLOOKUP(KELAS,AWAL:SELASA7B,ROWS(AWAL:SELASA7B)-1,0),DATAGURU,2,0),"")</f>
        <v/>
      </c>
      <c r="F35" s="24"/>
      <c r="G35" s="246"/>
      <c r="H35" s="247"/>
      <c r="I35" s="248"/>
      <c r="J35" s="25"/>
    </row>
    <row r="36" spans="1:10" ht="23.1" customHeight="1" x14ac:dyDescent="0.3">
      <c r="A36" s="243"/>
      <c r="B36" s="7" t="e">
        <f>'JADWAL UMUM'!#REF!</f>
        <v>#REF!</v>
      </c>
      <c r="C36" s="13" t="str">
        <f>'JADWAL UMUM'!$C$23</f>
        <v>12:45 - 13:30</v>
      </c>
      <c r="D36" s="15" t="str">
        <f>IFERROR(VLOOKUP(HLOOKUP(KELAS,AWAL:SELASA8B,ROWS(AWAL:SELASA8B),0),DATAMAPEL,2,0),"")</f>
        <v/>
      </c>
      <c r="E36" s="83" t="str">
        <f>IFERROR(VLOOKUP(HLOOKUP(KELAS,AWAL:SELASA8B,ROWS(AWAL:SELASA8B)-1,0),DATAGURU,2,0),"")</f>
        <v/>
      </c>
      <c r="F36" s="24"/>
      <c r="G36" s="246"/>
      <c r="H36" s="247"/>
      <c r="I36" s="248"/>
      <c r="J36" s="25"/>
    </row>
    <row r="37" spans="1:10" ht="23.1" customHeight="1" x14ac:dyDescent="0.3">
      <c r="A37" s="243"/>
      <c r="B37" s="7" t="e">
        <f>'JADWAL UMUM'!#REF!</f>
        <v>#REF!</v>
      </c>
      <c r="C37" s="13" t="str">
        <f>'JADWAL UMUM'!$C$24</f>
        <v>13:30 - 14:15</v>
      </c>
      <c r="D37" s="15" t="str">
        <f>IFERROR(VLOOKUP(HLOOKUP(KELAS,AWAL:SELASA9B,ROWS(AWAL:SELASA9B),0),DATAMAPEL,2,0),"")</f>
        <v/>
      </c>
      <c r="E37" s="83" t="str">
        <f>IFERROR(VLOOKUP(HLOOKUP(KELAS,AWAL:SELASA9B,ROWS(AWAL:SELASA9B)-1,0),DATAGURU,2,0),"")</f>
        <v/>
      </c>
      <c r="F37" s="24"/>
      <c r="G37" s="246"/>
      <c r="H37" s="247"/>
      <c r="I37" s="248"/>
      <c r="J37" s="25"/>
    </row>
    <row r="38" spans="1:10" ht="23.1" customHeight="1" thickBot="1" x14ac:dyDescent="0.35">
      <c r="A38" s="244"/>
      <c r="B38" s="9" t="e">
        <f>'JADWAL UMUM'!#REF!</f>
        <v>#REF!</v>
      </c>
      <c r="C38" s="14" t="str">
        <f>'JADWAL UMUM'!$C$25</f>
        <v>14:15 - 15:00</v>
      </c>
      <c r="D38" s="16" t="str">
        <f>IFERROR(VLOOKUP(HLOOKUP(KELAS,AWAL:SELASA10B,ROWS(AWAL:SELASA10B),0),DATAMAPEL,2,0),"")</f>
        <v/>
      </c>
      <c r="E38" s="84" t="str">
        <f>IFERROR(VLOOKUP(HLOOKUP(KELAS,AWAL:SELASA10B,ROWS(AWAL:SELASA10B)-1,0),DATAGURU,2,0),"")</f>
        <v/>
      </c>
      <c r="F38" s="26"/>
      <c r="G38" s="252"/>
      <c r="H38" s="253"/>
      <c r="I38" s="254"/>
      <c r="J38" s="27"/>
    </row>
    <row r="39" spans="1:10" ht="23.1" customHeight="1" thickTop="1" x14ac:dyDescent="0.3">
      <c r="A39" s="242">
        <f>K18+2</f>
        <v>45868</v>
      </c>
      <c r="B39" s="5">
        <f>'JADWAL UMUM'!B42</f>
        <v>1</v>
      </c>
      <c r="C39" s="12" t="e">
        <f>'JADWAL UMUM'!#REF!</f>
        <v>#REF!</v>
      </c>
      <c r="D39" s="17" t="str">
        <f>IFERROR(VLOOKUP(HLOOKUP(KELAS,AWAL:RABU1B,ROWS(AWAL:RABU1B),0),DATAMAPEL,2,0),"")</f>
        <v/>
      </c>
      <c r="E39" s="85" t="str">
        <f>IFERROR(VLOOKUP(HLOOKUP(KELAS,AWAL:RABU1B,ROWS(AWAL:RABU1B)-1,0),DATAGURU,2,0),"")</f>
        <v/>
      </c>
      <c r="F39" s="28"/>
      <c r="G39" s="255"/>
      <c r="H39" s="256"/>
      <c r="I39" s="257"/>
      <c r="J39" s="29"/>
    </row>
    <row r="40" spans="1:10" ht="23.1" customHeight="1" x14ac:dyDescent="0.3">
      <c r="A40" s="243"/>
      <c r="B40" s="7">
        <f>'JADWAL UMUM'!B44</f>
        <v>3</v>
      </c>
      <c r="C40" s="13" t="str">
        <f>'JADWAL UMUM'!$C$15</f>
        <v>07:15 - 08:00</v>
      </c>
      <c r="D40" s="15" t="str">
        <f>IFERROR(VLOOKUP(HLOOKUP(KELAS,AWAL:RABU2B,ROWS(AWAL:RABU2B),0),DATAMAPEL,2,0),"")</f>
        <v/>
      </c>
      <c r="E40" s="83" t="str">
        <f>IFERROR(VLOOKUP(HLOOKUP(KELAS,AWAL:RABU2B,ROWS(AWAL:RABU2B)-1,0),DATAGURU,2,0),"")</f>
        <v/>
      </c>
      <c r="F40" s="24"/>
      <c r="G40" s="246"/>
      <c r="H40" s="247"/>
      <c r="I40" s="248"/>
      <c r="J40" s="25"/>
    </row>
    <row r="41" spans="1:10" ht="23.1" customHeight="1" x14ac:dyDescent="0.3">
      <c r="A41" s="243"/>
      <c r="B41" s="7">
        <f>'JADWAL UMUM'!B46</f>
        <v>0</v>
      </c>
      <c r="C41" s="13" t="str">
        <f>'JADWAL UMUM'!$C$16</f>
        <v>08:00 - 08:45</v>
      </c>
      <c r="D41" s="15" t="str">
        <f>IFERROR(VLOOKUP(HLOOKUP(KELAS,AWAL:RABU3B,ROWS(AWAL:RABU3B),0),DATAMAPEL,2,0),"")</f>
        <v/>
      </c>
      <c r="E41" s="83" t="str">
        <f>IFERROR(VLOOKUP(HLOOKUP(KELAS,AWAL:RABU3B,ROWS(AWAL:RABU3B)-1,0),DATAGURU,2,0),"")</f>
        <v/>
      </c>
      <c r="F41" s="24"/>
      <c r="G41" s="246"/>
      <c r="H41" s="247"/>
      <c r="I41" s="248"/>
      <c r="J41" s="25"/>
    </row>
    <row r="42" spans="1:10" ht="23.1" customHeight="1" x14ac:dyDescent="0.3">
      <c r="A42" s="243"/>
      <c r="B42" s="7">
        <f>'JADWAL UMUM'!B48</f>
        <v>6</v>
      </c>
      <c r="C42" s="13" t="str">
        <f>'JADWAL UMUM'!$C$17</f>
        <v>08:45 - 09:30</v>
      </c>
      <c r="D42" s="15" t="str">
        <f>IFERROR(VLOOKUP(HLOOKUP(KELAS,AWAL:RABU4B,ROWS(AWAL:RABU4B),0),DATAMAPEL,2,0),"")</f>
        <v/>
      </c>
      <c r="E42" s="83" t="str">
        <f>IFERROR(VLOOKUP(HLOOKUP(KELAS,AWAL:RABU4B,ROWS(AWAL:RABU4B)-1,0),DATAGURU,2,0),"")</f>
        <v/>
      </c>
      <c r="F42" s="24"/>
      <c r="G42" s="246"/>
      <c r="H42" s="247"/>
      <c r="I42" s="248"/>
      <c r="J42" s="25"/>
    </row>
    <row r="43" spans="1:10" ht="23.1" customHeight="1" x14ac:dyDescent="0.3">
      <c r="A43" s="243"/>
      <c r="B43" s="7"/>
      <c r="C43" s="13" t="str">
        <f>'JADWAL UMUM'!$C$18</f>
        <v>09:30 - 09:50</v>
      </c>
      <c r="D43" s="235" t="s">
        <v>18</v>
      </c>
      <c r="E43" s="245"/>
      <c r="F43" s="35"/>
      <c r="G43" s="249"/>
      <c r="H43" s="250"/>
      <c r="I43" s="251"/>
      <c r="J43" s="36"/>
    </row>
    <row r="44" spans="1:10" ht="23.1" customHeight="1" x14ac:dyDescent="0.3">
      <c r="A44" s="243"/>
      <c r="B44" s="7">
        <f>'JADWAL UMUM'!B51</f>
        <v>8</v>
      </c>
      <c r="C44" s="13" t="str">
        <f>'JADWAL UMUM'!$C$19</f>
        <v>09:50 - 10:35</v>
      </c>
      <c r="D44" s="15" t="str">
        <f>IFERROR(VLOOKUP(HLOOKUP(KELAS,AWAL:RABU5B,ROWS(AWAL:RABU5B),0),DATAMAPEL,2,0),"")</f>
        <v/>
      </c>
      <c r="E44" s="83" t="str">
        <f>IFERROR(VLOOKUP(HLOOKUP(KELAS,AWAL:RABU5B,ROWS(AWAL:RABU5B)-1,0),DATAGURU,2,0),"")</f>
        <v/>
      </c>
      <c r="F44" s="24"/>
      <c r="G44" s="246"/>
      <c r="H44" s="247"/>
      <c r="I44" s="248"/>
      <c r="J44" s="25"/>
    </row>
    <row r="45" spans="1:10" ht="23.1" customHeight="1" x14ac:dyDescent="0.3">
      <c r="A45" s="243"/>
      <c r="B45" s="7">
        <f>'JADWAL UMUM'!B53</f>
        <v>10</v>
      </c>
      <c r="C45" s="13" t="str">
        <f>'JADWAL UMUM'!$C$20</f>
        <v>10:35 - 11:20</v>
      </c>
      <c r="D45" s="15" t="str">
        <f>IFERROR(VLOOKUP(HLOOKUP(KELAS,AWAL:RABU6B,ROWS(AWAL:RABU6B),0),DATAMAPEL,2,0),"")</f>
        <v/>
      </c>
      <c r="E45" s="83" t="str">
        <f>IFERROR(VLOOKUP(HLOOKUP(KELAS,AWAL:RABU6B,ROWS(AWAL:RABU6B)-1,0),DATAGURU,2,0),"")</f>
        <v/>
      </c>
      <c r="F45" s="24"/>
      <c r="G45" s="246"/>
      <c r="H45" s="247"/>
      <c r="I45" s="248"/>
      <c r="J45" s="25"/>
    </row>
    <row r="46" spans="1:10" ht="23.1" customHeight="1" x14ac:dyDescent="0.3">
      <c r="A46" s="243"/>
      <c r="B46" s="7"/>
      <c r="C46" s="13" t="str">
        <f>'JADWAL UMUM'!$C$22</f>
        <v>12:05 - 12:45</v>
      </c>
      <c r="D46" s="235" t="s">
        <v>18</v>
      </c>
      <c r="E46" s="245"/>
      <c r="F46" s="35"/>
      <c r="G46" s="249"/>
      <c r="H46" s="250"/>
      <c r="I46" s="251"/>
      <c r="J46" s="36"/>
    </row>
    <row r="47" spans="1:10" ht="23.1" customHeight="1" x14ac:dyDescent="0.3">
      <c r="A47" s="243"/>
      <c r="B47" s="7" t="e">
        <f>'JADWAL UMUM'!#REF!</f>
        <v>#REF!</v>
      </c>
      <c r="C47" s="13" t="str">
        <f>'JADWAL UMUM'!$C$21</f>
        <v>11:20 - 12:05</v>
      </c>
      <c r="D47" s="15" t="str">
        <f>IFERROR(VLOOKUP(HLOOKUP(KELAS,AWAL:RABU7B,ROWS(AWAL:RABU7B),0),DATAMAPEL,2,0),"")</f>
        <v/>
      </c>
      <c r="E47" s="83" t="str">
        <f>IFERROR(VLOOKUP(HLOOKUP(KELAS,AWAL:RABU7B,ROWS(AWAL:RABU7B)-1,0),DATAGURU,2,0),"")</f>
        <v/>
      </c>
      <c r="F47" s="24"/>
      <c r="G47" s="246"/>
      <c r="H47" s="247"/>
      <c r="I47" s="248"/>
      <c r="J47" s="25"/>
    </row>
    <row r="48" spans="1:10" ht="23.1" customHeight="1" x14ac:dyDescent="0.3">
      <c r="A48" s="243"/>
      <c r="B48" s="7" t="e">
        <f>'JADWAL UMUM'!#REF!</f>
        <v>#REF!</v>
      </c>
      <c r="C48" s="13" t="str">
        <f>'JADWAL UMUM'!$C$23</f>
        <v>12:45 - 13:30</v>
      </c>
      <c r="D48" s="15" t="str">
        <f>IFERROR(VLOOKUP(HLOOKUP(KELAS,AWAL:RABU8B,ROWS(AWAL:RABU8B),0),DATAMAPEL,2,0),"")</f>
        <v/>
      </c>
      <c r="E48" s="83" t="str">
        <f>IFERROR(VLOOKUP(HLOOKUP(KELAS,AWAL:RABU8B,ROWS(AWAL:RABU8B)-1,0),DATAGURU,2,0),"")</f>
        <v/>
      </c>
      <c r="F48" s="24"/>
      <c r="G48" s="246"/>
      <c r="H48" s="247"/>
      <c r="I48" s="248"/>
      <c r="J48" s="25"/>
    </row>
    <row r="49" spans="1:11" ht="23.1" customHeight="1" x14ac:dyDescent="0.3">
      <c r="A49" s="243"/>
      <c r="B49" s="7" t="e">
        <f>'JADWAL UMUM'!#REF!</f>
        <v>#REF!</v>
      </c>
      <c r="C49" s="13" t="str">
        <f>'JADWAL UMUM'!$C$24</f>
        <v>13:30 - 14:15</v>
      </c>
      <c r="D49" s="15" t="str">
        <f>IFERROR(VLOOKUP(HLOOKUP(KELAS,AWAL:RABU9B,ROWS(AWAL:RABU9B),0),DATAMAPEL,2,0),"")</f>
        <v/>
      </c>
      <c r="E49" s="83" t="str">
        <f>IFERROR(VLOOKUP(HLOOKUP(KELAS,AWAL:RABU9B,ROWS(AWAL:RABU9B)-1,0),DATAGURU,2,0),"")</f>
        <v/>
      </c>
      <c r="F49" s="24"/>
      <c r="G49" s="246"/>
      <c r="H49" s="247"/>
      <c r="I49" s="248"/>
      <c r="J49" s="25"/>
    </row>
    <row r="50" spans="1:11" ht="23.1" customHeight="1" thickBot="1" x14ac:dyDescent="0.35">
      <c r="A50" s="244"/>
      <c r="B50" s="9" t="e">
        <f>'JADWAL UMUM'!#REF!</f>
        <v>#REF!</v>
      </c>
      <c r="C50" s="14" t="str">
        <f>'JADWAL UMUM'!$C$25</f>
        <v>14:15 - 15:00</v>
      </c>
      <c r="D50" s="16" t="str">
        <f>IFERROR(VLOOKUP(HLOOKUP(KELAS,AWAL:RABU10B,ROWS(AWAL:RABU10B),0),DATAMAPEL,2,0),"")</f>
        <v/>
      </c>
      <c r="E50" s="84" t="str">
        <f>IFERROR(VLOOKUP(HLOOKUP(KELAS,AWAL:RABU10B,ROWS(AWAL:RABU10B)-1,0),DATAGURU,2,0),"")</f>
        <v/>
      </c>
      <c r="F50" s="26"/>
      <c r="G50" s="252"/>
      <c r="H50" s="253"/>
      <c r="I50" s="254"/>
      <c r="J50" s="27"/>
    </row>
    <row r="51" spans="1:11" ht="21" customHeight="1" thickTop="1" x14ac:dyDescent="0.3">
      <c r="A51" s="242">
        <f>K18+3</f>
        <v>45869</v>
      </c>
      <c r="B51" s="5">
        <f>'JADWAL UMUM'!B56</f>
        <v>1</v>
      </c>
      <c r="C51" s="12" t="e">
        <f>'JADWAL UMUM'!#REF!</f>
        <v>#REF!</v>
      </c>
      <c r="D51" s="17" t="str">
        <f>IFERROR(VLOOKUP(HLOOKUP(KELAS,AWAL:KAMIS1B,ROWS(AWAL:KAMIS1B),0),DATAMAPEL,2,0),"")</f>
        <v/>
      </c>
      <c r="E51" s="85" t="str">
        <f>IFERROR(VLOOKUP(HLOOKUP(KELAS,AWAL:KAMIS1B,ROWS(AWAL:KAMIS1B)-1,0),DATAGURU,2,0),"")</f>
        <v/>
      </c>
      <c r="F51" s="96"/>
      <c r="G51" s="255"/>
      <c r="H51" s="256"/>
      <c r="I51" s="257"/>
      <c r="J51" s="25"/>
      <c r="K51" s="22"/>
    </row>
    <row r="52" spans="1:11" ht="21" customHeight="1" x14ac:dyDescent="0.3">
      <c r="A52" s="243"/>
      <c r="B52" s="7">
        <f>'JADWAL UMUM'!B58</f>
        <v>3</v>
      </c>
      <c r="C52" s="13" t="str">
        <f>'JADWAL UMUM'!$C$15</f>
        <v>07:15 - 08:00</v>
      </c>
      <c r="D52" s="15" t="str">
        <f>IFERROR(VLOOKUP(HLOOKUP(KELAS,AWAL:KAMIS2B,ROWS(AWAL:KAMIS2B),0),DATAMAPEL,2,0),"")</f>
        <v/>
      </c>
      <c r="E52" s="83" t="str">
        <f>IFERROR(VLOOKUP(HLOOKUP(KELAS,AWAL:KAMIS2B,ROWS(AWAL:KAMIS2B)-1,0),DATAGURU,2,0),"")</f>
        <v/>
      </c>
      <c r="F52" s="24"/>
      <c r="G52" s="246"/>
      <c r="H52" s="247"/>
      <c r="I52" s="248"/>
      <c r="J52" s="25"/>
      <c r="K52" s="22"/>
    </row>
    <row r="53" spans="1:11" ht="21" customHeight="1" x14ac:dyDescent="0.3">
      <c r="A53" s="243"/>
      <c r="B53" s="7">
        <f>'JADWAL UMUM'!B60</f>
        <v>0</v>
      </c>
      <c r="C53" s="13" t="str">
        <f>'JADWAL UMUM'!$C$16</f>
        <v>08:00 - 08:45</v>
      </c>
      <c r="D53" s="15" t="str">
        <f>IFERROR(VLOOKUP(HLOOKUP(KELAS,AWAL:KAMIS3B,ROWS(AWAL:KAMIS3B),0),DATAMAPEL,2,0),"")</f>
        <v/>
      </c>
      <c r="E53" s="83" t="str">
        <f>IFERROR(VLOOKUP(HLOOKUP(KELAS,AWAL:KAMIS3B,ROWS(AWAL:KAMIS3B)-1,0),DATAGURU,2,0),"")</f>
        <v/>
      </c>
      <c r="F53" s="24"/>
      <c r="G53" s="246"/>
      <c r="H53" s="247"/>
      <c r="I53" s="248"/>
      <c r="J53" s="25"/>
      <c r="K53" s="22"/>
    </row>
    <row r="54" spans="1:11" ht="21" customHeight="1" x14ac:dyDescent="0.3">
      <c r="A54" s="243"/>
      <c r="B54" s="7">
        <f>'JADWAL UMUM'!B62</f>
        <v>6</v>
      </c>
      <c r="C54" s="13" t="str">
        <f>'JADWAL UMUM'!$C$17</f>
        <v>08:45 - 09:30</v>
      </c>
      <c r="D54" s="15" t="str">
        <f>IFERROR(VLOOKUP(HLOOKUP(KELAS,AWAL:KAMIS4B,ROWS(AWAL:KAMIS4B),0),DATAMAPEL,2,0),"")</f>
        <v/>
      </c>
      <c r="E54" s="83" t="str">
        <f>IFERROR(VLOOKUP(HLOOKUP(KELAS,AWAL:KAMIS4B,ROWS(AWAL:KAMIS4B)-1,0),DATAGURU,2,0),"")</f>
        <v/>
      </c>
      <c r="F54" s="24"/>
      <c r="G54" s="246"/>
      <c r="H54" s="247"/>
      <c r="I54" s="248"/>
      <c r="J54" s="25"/>
      <c r="K54" s="22"/>
    </row>
    <row r="55" spans="1:11" ht="21" customHeight="1" x14ac:dyDescent="0.3">
      <c r="A55" s="243"/>
      <c r="B55" s="7"/>
      <c r="C55" s="13" t="str">
        <f>'JADWAL UMUM'!$C$18</f>
        <v>09:30 - 09:50</v>
      </c>
      <c r="D55" s="235" t="s">
        <v>18</v>
      </c>
      <c r="E55" s="245"/>
      <c r="F55" s="35"/>
      <c r="G55" s="249"/>
      <c r="H55" s="250"/>
      <c r="I55" s="251"/>
      <c r="J55" s="36"/>
      <c r="K55" s="22"/>
    </row>
    <row r="56" spans="1:11" ht="21" customHeight="1" x14ac:dyDescent="0.3">
      <c r="A56" s="243"/>
      <c r="B56" s="7">
        <f>'JADWAL UMUM'!B65</f>
        <v>8</v>
      </c>
      <c r="C56" s="13" t="str">
        <f>'JADWAL UMUM'!$C$19</f>
        <v>09:50 - 10:35</v>
      </c>
      <c r="D56" s="15" t="str">
        <f>IFERROR(VLOOKUP(HLOOKUP(KELAS,AWAL:KAMIS5B,ROWS(AWAL:KAMIS5B),0),DATAMAPEL,2,0),"")</f>
        <v/>
      </c>
      <c r="E56" s="83" t="str">
        <f>IFERROR(VLOOKUP(HLOOKUP(KELAS,AWAL:KAMIS5B,ROWS(AWAL:KAMIS5B)-1,0),DATAGURU,2,0),"")</f>
        <v/>
      </c>
      <c r="F56" s="24"/>
      <c r="G56" s="246"/>
      <c r="H56" s="247"/>
      <c r="I56" s="248"/>
      <c r="J56" s="25"/>
      <c r="K56" s="22"/>
    </row>
    <row r="57" spans="1:11" ht="21" customHeight="1" x14ac:dyDescent="0.3">
      <c r="A57" s="243"/>
      <c r="B57" s="7">
        <f>'JADWAL UMUM'!B67</f>
        <v>10</v>
      </c>
      <c r="C57" s="13" t="str">
        <f>'JADWAL UMUM'!$C$20</f>
        <v>10:35 - 11:20</v>
      </c>
      <c r="D57" s="15" t="str">
        <f>IFERROR(VLOOKUP(HLOOKUP(KELAS,AWAL:KAMIS6B,ROWS(AWAL:KAMIS6B),0),DATAMAPEL,2,0),"")</f>
        <v/>
      </c>
      <c r="E57" s="83" t="str">
        <f>IFERROR(VLOOKUP(HLOOKUP(KELAS,AWAL:KAMIS6B,ROWS(AWAL:KAMIS6B)-1,0),DATAGURU,2,0),"")</f>
        <v/>
      </c>
      <c r="F57" s="24"/>
      <c r="G57" s="246"/>
      <c r="H57" s="247"/>
      <c r="I57" s="248"/>
      <c r="J57" s="25"/>
      <c r="K57" s="22"/>
    </row>
    <row r="58" spans="1:11" ht="21" customHeight="1" x14ac:dyDescent="0.3">
      <c r="A58" s="243"/>
      <c r="B58" s="7"/>
      <c r="C58" s="13" t="str">
        <f>'JADWAL UMUM'!$C$22</f>
        <v>12:05 - 12:45</v>
      </c>
      <c r="D58" s="235" t="s">
        <v>18</v>
      </c>
      <c r="E58" s="245"/>
      <c r="F58" s="35"/>
      <c r="G58" s="249"/>
      <c r="H58" s="250"/>
      <c r="I58" s="251"/>
      <c r="J58" s="36"/>
      <c r="K58" s="22"/>
    </row>
    <row r="59" spans="1:11" ht="21" customHeight="1" x14ac:dyDescent="0.3">
      <c r="A59" s="243"/>
      <c r="B59" s="7" t="e">
        <f>'JADWAL UMUM'!#REF!</f>
        <v>#REF!</v>
      </c>
      <c r="C59" s="13" t="str">
        <f>'JADWAL UMUM'!$C$21</f>
        <v>11:20 - 12:05</v>
      </c>
      <c r="D59" s="15" t="str">
        <f>IFERROR(VLOOKUP(HLOOKUP(KELAS,AWAL:KAMIS7B,ROWS(AWAL:KAMIS7B),0),DATAMAPEL,2,0),"")</f>
        <v/>
      </c>
      <c r="E59" s="83" t="str">
        <f>IFERROR(VLOOKUP(HLOOKUP(KELAS,AWAL:KAMIS7B,ROWS(AWAL:KAMIS7B)-1,0),DATAGURU,2,0),"")</f>
        <v/>
      </c>
      <c r="F59" s="24"/>
      <c r="G59" s="246"/>
      <c r="H59" s="247"/>
      <c r="I59" s="248"/>
      <c r="J59" s="25"/>
      <c r="K59" s="22"/>
    </row>
    <row r="60" spans="1:11" ht="21" customHeight="1" x14ac:dyDescent="0.3">
      <c r="A60" s="243"/>
      <c r="B60" s="7" t="e">
        <f>'JADWAL UMUM'!#REF!</f>
        <v>#REF!</v>
      </c>
      <c r="C60" s="13" t="str">
        <f>'JADWAL UMUM'!$C$23</f>
        <v>12:45 - 13:30</v>
      </c>
      <c r="D60" s="15" t="str">
        <f>IFERROR(VLOOKUP(HLOOKUP(KELAS,AWAL:KAMIS8B,ROWS(AWAL:KAMIS8B),0),DATAMAPEL,2,0),"")</f>
        <v/>
      </c>
      <c r="E60" s="83" t="str">
        <f>IFERROR(VLOOKUP(HLOOKUP(KELAS,AWAL:KAMIS8B,ROWS(AWAL:KAMIS8B)-1,0),DATAGURU,2,0),"")</f>
        <v/>
      </c>
      <c r="F60" s="24"/>
      <c r="G60" s="246"/>
      <c r="H60" s="247"/>
      <c r="I60" s="248"/>
      <c r="J60" s="25"/>
      <c r="K60" s="22"/>
    </row>
    <row r="61" spans="1:11" ht="21" customHeight="1" x14ac:dyDescent="0.3">
      <c r="A61" s="243"/>
      <c r="B61" s="7" t="e">
        <f>'JADWAL UMUM'!#REF!</f>
        <v>#REF!</v>
      </c>
      <c r="C61" s="13" t="str">
        <f>'JADWAL UMUM'!$C$24</f>
        <v>13:30 - 14:15</v>
      </c>
      <c r="D61" s="15" t="str">
        <f>IFERROR(VLOOKUP(HLOOKUP(KELAS,AWAL:KAMIS9B,ROWS(AWAL:KAMIS9B),0),DATAMAPEL,2,0),"")</f>
        <v/>
      </c>
      <c r="E61" s="83" t="str">
        <f>IFERROR(VLOOKUP(HLOOKUP(KELAS,AWAL:KAMIS9B,ROWS(AWAL:KAMIS9B)-1,0),DATAGURU,2,0),"")</f>
        <v/>
      </c>
      <c r="F61" s="24"/>
      <c r="G61" s="246"/>
      <c r="H61" s="247"/>
      <c r="I61" s="248"/>
      <c r="J61" s="25"/>
      <c r="K61" s="22"/>
    </row>
    <row r="62" spans="1:11" ht="21" customHeight="1" thickBot="1" x14ac:dyDescent="0.35">
      <c r="A62" s="244"/>
      <c r="B62" s="9" t="e">
        <f>'JADWAL UMUM'!#REF!</f>
        <v>#REF!</v>
      </c>
      <c r="C62" s="14" t="str">
        <f>'JADWAL UMUM'!$C$25</f>
        <v>14:15 - 15:00</v>
      </c>
      <c r="D62" s="16" t="str">
        <f>IFERROR(VLOOKUP(HLOOKUP(KELAS,AWAL:KAMIS10B,ROWS(AWAL:KAMIS10B),0),DATAMAPEL,2,0),"")</f>
        <v/>
      </c>
      <c r="E62" s="84" t="str">
        <f>IFERROR(VLOOKUP(HLOOKUP(KELAS,AWAL:KAMIS10B,ROWS(AWAL:KAMIS10B)-1,0),DATAGURU,2,0),"")</f>
        <v/>
      </c>
      <c r="F62" s="26"/>
      <c r="G62" s="252"/>
      <c r="H62" s="253"/>
      <c r="I62" s="254"/>
      <c r="J62" s="27"/>
      <c r="K62" s="22"/>
    </row>
    <row r="63" spans="1:11" ht="21" customHeight="1" thickTop="1" x14ac:dyDescent="0.3">
      <c r="A63" s="242">
        <f>K18+4</f>
        <v>45870</v>
      </c>
      <c r="B63" s="5">
        <f>'JADWAL UMUM'!B70</f>
        <v>1</v>
      </c>
      <c r="C63" s="12" t="e">
        <f>'JADWAL UMUM'!#REF!</f>
        <v>#REF!</v>
      </c>
      <c r="D63" s="17" t="str">
        <f>IFERROR(VLOOKUP(HLOOKUP(KELAS,AWAL:JUMAT1B,ROWS(AWAL:JUMAT1B),0),DATAMAPEL,2,0),"")</f>
        <v/>
      </c>
      <c r="E63" s="85" t="str">
        <f>IFERROR(VLOOKUP(HLOOKUP(KELAS,AWAL:JUMAT1B,ROWS(AWAL:JUMAT1B)-1,0),DATAGURU,2,0),"")</f>
        <v/>
      </c>
      <c r="F63" s="96"/>
      <c r="G63" s="255"/>
      <c r="H63" s="256"/>
      <c r="I63" s="257"/>
      <c r="J63" s="29"/>
      <c r="K63" s="22"/>
    </row>
    <row r="64" spans="1:11" ht="21" customHeight="1" x14ac:dyDescent="0.3">
      <c r="A64" s="243"/>
      <c r="B64" s="7">
        <f>'JADWAL UMUM'!B72</f>
        <v>3</v>
      </c>
      <c r="C64" s="13" t="str">
        <f>'JADWAL UMUM'!$C$15</f>
        <v>07:15 - 08:00</v>
      </c>
      <c r="D64" s="15" t="str">
        <f>IFERROR(VLOOKUP(HLOOKUP(KELAS,AWAL:JUMAT2B,ROWS(AWAL:JUMAT2B),0),DATAMAPEL,2,0),"")</f>
        <v/>
      </c>
      <c r="E64" s="83" t="str">
        <f>IFERROR(VLOOKUP(HLOOKUP(KELAS,AWAL:JUMAT2B,ROWS(AWAL:JUMAT2B)-1,0),DATAGURU,2,0),"")</f>
        <v/>
      </c>
      <c r="F64" s="24"/>
      <c r="G64" s="246"/>
      <c r="H64" s="247"/>
      <c r="I64" s="248"/>
      <c r="J64" s="25"/>
      <c r="K64" s="22"/>
    </row>
    <row r="65" spans="1:11" ht="21" customHeight="1" x14ac:dyDescent="0.3">
      <c r="A65" s="243"/>
      <c r="B65" s="7">
        <f>'JADWAL UMUM'!B74</f>
        <v>0</v>
      </c>
      <c r="C65" s="13" t="str">
        <f>'JADWAL UMUM'!$C$16</f>
        <v>08:00 - 08:45</v>
      </c>
      <c r="D65" s="15" t="str">
        <f>IFERROR(VLOOKUP(HLOOKUP(KELAS,AWAL:JUMAT3B,ROWS(AWAL:JUMAT3B),0),DATAMAPEL,2,0),"")</f>
        <v/>
      </c>
      <c r="E65" s="83" t="str">
        <f>IFERROR(VLOOKUP(HLOOKUP(KELAS,AWAL:JUMAT3B,ROWS(AWAL:JUMAT3B)-1,0),DATAGURU,2,0),"")</f>
        <v/>
      </c>
      <c r="F65" s="24"/>
      <c r="G65" s="246"/>
      <c r="H65" s="247"/>
      <c r="I65" s="248"/>
      <c r="J65" s="25"/>
      <c r="K65" s="22"/>
    </row>
    <row r="66" spans="1:11" ht="21" customHeight="1" x14ac:dyDescent="0.3">
      <c r="A66" s="243"/>
      <c r="B66" s="7">
        <f>'JADWAL UMUM'!B76</f>
        <v>6</v>
      </c>
      <c r="C66" s="13" t="str">
        <f>'JADWAL UMUM'!$C$17</f>
        <v>08:45 - 09:30</v>
      </c>
      <c r="D66" s="15" t="str">
        <f>IFERROR(VLOOKUP(HLOOKUP(KELAS,AWAL:JUMAT4B,ROWS(AWAL:JUMAT4B),0),DATAMAPEL,2,0),"")</f>
        <v/>
      </c>
      <c r="E66" s="83" t="str">
        <f>IFERROR(VLOOKUP(HLOOKUP(KELAS,AWAL:JUMAT4B,ROWS(AWAL:JUMAT4B)-1,0),DATAGURU,2,0),"")</f>
        <v/>
      </c>
      <c r="F66" s="24"/>
      <c r="G66" s="246"/>
      <c r="H66" s="247"/>
      <c r="I66" s="248"/>
      <c r="J66" s="25"/>
      <c r="K66" s="22"/>
    </row>
    <row r="67" spans="1:11" ht="21" customHeight="1" x14ac:dyDescent="0.3">
      <c r="A67" s="243"/>
      <c r="B67" s="7"/>
      <c r="C67" s="13" t="str">
        <f>'JADWAL UMUM'!$C$18</f>
        <v>09:30 - 09:50</v>
      </c>
      <c r="D67" s="235" t="s">
        <v>18</v>
      </c>
      <c r="E67" s="245"/>
      <c r="F67" s="35"/>
      <c r="G67" s="249"/>
      <c r="H67" s="250"/>
      <c r="I67" s="251"/>
      <c r="J67" s="36"/>
      <c r="K67" s="22"/>
    </row>
    <row r="68" spans="1:11" ht="21" customHeight="1" x14ac:dyDescent="0.3">
      <c r="A68" s="243"/>
      <c r="B68" s="7">
        <f>'JADWAL UMUM'!B79</f>
        <v>8</v>
      </c>
      <c r="C68" s="13" t="str">
        <f>'JADWAL UMUM'!$C$19</f>
        <v>09:50 - 10:35</v>
      </c>
      <c r="D68" s="15" t="str">
        <f>IFERROR(VLOOKUP(HLOOKUP(KELAS,AWAL:JUMAT5B,ROWS(AWAL:JUMAT5B),0),DATAMAPEL,2,0),"")</f>
        <v/>
      </c>
      <c r="E68" s="83" t="str">
        <f>IFERROR(VLOOKUP(HLOOKUP(KELAS,AWAL:JUMAT5B,ROWS(AWAL:JUMAT5B)-1,0),DATAGURU,2,0),"")</f>
        <v/>
      </c>
      <c r="F68" s="24"/>
      <c r="G68" s="246"/>
      <c r="H68" s="247"/>
      <c r="I68" s="248"/>
      <c r="J68" s="25"/>
      <c r="K68" s="22"/>
    </row>
    <row r="69" spans="1:11" ht="21" customHeight="1" x14ac:dyDescent="0.3">
      <c r="A69" s="243"/>
      <c r="B69" s="7">
        <f>'JADWAL UMUM'!B81</f>
        <v>10</v>
      </c>
      <c r="C69" s="13" t="str">
        <f>'JADWAL UMUM'!$C$20</f>
        <v>10:35 - 11:20</v>
      </c>
      <c r="D69" s="15" t="str">
        <f>IFERROR(VLOOKUP(HLOOKUP(KELAS,AWAL:JUMAT6B,ROWS(AWAL:JUMAT6B),0),DATAMAPEL,2,0),"")</f>
        <v/>
      </c>
      <c r="E69" s="83" t="str">
        <f>IFERROR(VLOOKUP(HLOOKUP(KELAS,AWAL:JUMAT6B,ROWS(AWAL:JUMAT6B)-1,0),DATAGURU,2,0),"")</f>
        <v/>
      </c>
      <c r="F69" s="24"/>
      <c r="G69" s="246"/>
      <c r="H69" s="247"/>
      <c r="I69" s="248"/>
      <c r="J69" s="25"/>
      <c r="K69" s="22"/>
    </row>
    <row r="70" spans="1:11" ht="21" customHeight="1" x14ac:dyDescent="0.3">
      <c r="A70" s="243"/>
      <c r="B70" s="7"/>
      <c r="C70" s="13" t="str">
        <f>'JADWAL UMUM'!$C$22</f>
        <v>12:05 - 12:45</v>
      </c>
      <c r="D70" s="235" t="s">
        <v>18</v>
      </c>
      <c r="E70" s="245"/>
      <c r="F70" s="35"/>
      <c r="G70" s="249"/>
      <c r="H70" s="250"/>
      <c r="I70" s="251"/>
      <c r="J70" s="36"/>
      <c r="K70" s="22"/>
    </row>
    <row r="71" spans="1:11" ht="21" customHeight="1" x14ac:dyDescent="0.3">
      <c r="A71" s="243"/>
      <c r="B71" s="7" t="e">
        <f>'JADWAL UMUM'!#REF!</f>
        <v>#REF!</v>
      </c>
      <c r="C71" s="13" t="str">
        <f>'JADWAL UMUM'!$C$21</f>
        <v>11:20 - 12:05</v>
      </c>
      <c r="D71" s="15" t="str">
        <f>IFERROR(VLOOKUP(HLOOKUP(KELAS,AWAL:JUMAT7B,ROWS(AWAL:JUMAT7B),0),DATAMAPEL,2,0),"")</f>
        <v/>
      </c>
      <c r="E71" s="83" t="str">
        <f>IFERROR(VLOOKUP(HLOOKUP(KELAS,AWAL:JUMAT7B,ROWS(AWAL:JUMAT7B)-1,0),DATAGURU,2,0),"")</f>
        <v/>
      </c>
      <c r="F71" s="24"/>
      <c r="G71" s="246"/>
      <c r="H71" s="247"/>
      <c r="I71" s="248"/>
      <c r="J71" s="25"/>
      <c r="K71" s="22"/>
    </row>
    <row r="72" spans="1:11" ht="21" customHeight="1" x14ac:dyDescent="0.3">
      <c r="A72" s="243"/>
      <c r="B72" s="7" t="e">
        <f>'JADWAL UMUM'!#REF!</f>
        <v>#REF!</v>
      </c>
      <c r="C72" s="13" t="str">
        <f>'JADWAL UMUM'!$C$23</f>
        <v>12:45 - 13:30</v>
      </c>
      <c r="D72" s="15" t="str">
        <f>IFERROR(VLOOKUP(HLOOKUP(KELAS,AWAL:JUMAT8B,ROWS(AWAL:JUMAT8B),0),DATAMAPEL,2,0),"")</f>
        <v/>
      </c>
      <c r="E72" s="83" t="str">
        <f>IFERROR(VLOOKUP(HLOOKUP(KELAS,AWAL:JUMAT8B,ROWS(AWAL:JUMAT8B)-1,0),DATAGURU,2,0),"")</f>
        <v/>
      </c>
      <c r="F72" s="24"/>
      <c r="G72" s="246"/>
      <c r="H72" s="247"/>
      <c r="I72" s="248"/>
      <c r="J72" s="25"/>
      <c r="K72" s="22"/>
    </row>
    <row r="73" spans="1:11" ht="21" customHeight="1" x14ac:dyDescent="0.3">
      <c r="A73" s="243"/>
      <c r="B73" s="7" t="e">
        <f>'JADWAL UMUM'!#REF!</f>
        <v>#REF!</v>
      </c>
      <c r="C73" s="13" t="str">
        <f>'JADWAL UMUM'!$C$24</f>
        <v>13:30 - 14:15</v>
      </c>
      <c r="D73" s="15" t="str">
        <f>IFERROR(VLOOKUP(HLOOKUP(KELAS,AWAL:JUMAT9B,ROWS(AWAL:JUMAT9B),0),DATAMAPEL,2,0),"")</f>
        <v/>
      </c>
      <c r="E73" s="83" t="str">
        <f>IFERROR(VLOOKUP(HLOOKUP(KELAS,AWAL:JUMAT9B,ROWS(AWAL:JUMAT9B)-1,0),DATAGURU,2,0),"")</f>
        <v/>
      </c>
      <c r="F73" s="24"/>
      <c r="G73" s="246"/>
      <c r="H73" s="247"/>
      <c r="I73" s="248"/>
      <c r="J73" s="25"/>
      <c r="K73" s="22"/>
    </row>
    <row r="74" spans="1:11" ht="21" customHeight="1" thickBot="1" x14ac:dyDescent="0.35">
      <c r="A74" s="244"/>
      <c r="B74" s="9" t="e">
        <f>'JADWAL UMUM'!#REF!</f>
        <v>#REF!</v>
      </c>
      <c r="C74" s="14" t="str">
        <f>'JADWAL UMUM'!$C$25</f>
        <v>14:15 - 15:00</v>
      </c>
      <c r="D74" s="16" t="str">
        <f>IFERROR(VLOOKUP(HLOOKUP(KELAS,AWAL:JUMAT10B,ROWS(AWAL:JUMAT10B),0),DATAMAPEL,2,0),"")</f>
        <v/>
      </c>
      <c r="E74" s="84" t="str">
        <f>IFERROR(VLOOKUP(HLOOKUP(KELAS,AWAL:JUMAT10B,ROWS(AWAL:JUMAT10B)-1,0),DATAGURU,2,0),"")</f>
        <v/>
      </c>
      <c r="F74" s="26"/>
      <c r="G74" s="252"/>
      <c r="H74" s="253"/>
      <c r="I74" s="254"/>
      <c r="J74" s="27"/>
      <c r="K74" s="22"/>
    </row>
    <row r="75" spans="1:11" ht="21" customHeight="1" thickTop="1" x14ac:dyDescent="0.3">
      <c r="A75" s="242">
        <f>K18+5</f>
        <v>45871</v>
      </c>
      <c r="B75" s="5" t="e">
        <f>'JADWAL UMUM'!#REF!</f>
        <v>#REF!</v>
      </c>
      <c r="C75" s="12" t="e">
        <f>'JADWAL UMUM'!#REF!</f>
        <v>#REF!</v>
      </c>
      <c r="D75" s="17" t="str">
        <f>IFERROR(VLOOKUP(HLOOKUP(KELAS,AWAL:SABTU1B,ROWS(AWAL:SABTU1B),0),DATAMAPEL,2,0),"")</f>
        <v/>
      </c>
      <c r="E75" s="85" t="str">
        <f>IFERROR(VLOOKUP(HLOOKUP(KELAS,AWAL:SABTU1B,ROWS(AWAL:SABTU1B)-1,0),DATAGURU,2,0),"")</f>
        <v/>
      </c>
      <c r="F75" s="28"/>
      <c r="G75" s="255"/>
      <c r="H75" s="256"/>
      <c r="I75" s="257"/>
      <c r="J75" s="29"/>
      <c r="K75" s="22"/>
    </row>
    <row r="76" spans="1:11" ht="21" customHeight="1" x14ac:dyDescent="0.3">
      <c r="A76" s="243"/>
      <c r="B76" s="7" t="e">
        <f>'JADWAL UMUM'!#REF!</f>
        <v>#REF!</v>
      </c>
      <c r="C76" s="13" t="str">
        <f>'JADWAL UMUM'!$C$15</f>
        <v>07:15 - 08:00</v>
      </c>
      <c r="D76" s="15" t="str">
        <f>IFERROR(VLOOKUP(HLOOKUP(KELAS,AWAL:SABTU2B,ROWS(AWAL:SABTU2B),0),DATAMAPEL,2,0),"")</f>
        <v/>
      </c>
      <c r="E76" s="83" t="str">
        <f>IFERROR(VLOOKUP(HLOOKUP(KELAS,AWAL:SABTU2B,ROWS(AWAL:SABTU2B)-1,0),DATAGURU,2,0),"")</f>
        <v/>
      </c>
      <c r="F76" s="24"/>
      <c r="G76" s="246"/>
      <c r="H76" s="247"/>
      <c r="I76" s="248"/>
      <c r="J76" s="25"/>
      <c r="K76" s="22"/>
    </row>
    <row r="77" spans="1:11" ht="21" customHeight="1" x14ac:dyDescent="0.3">
      <c r="A77" s="243"/>
      <c r="B77" s="7" t="e">
        <f>'JADWAL UMUM'!#REF!</f>
        <v>#REF!</v>
      </c>
      <c r="C77" s="13" t="str">
        <f>'JADWAL UMUM'!$C$16</f>
        <v>08:00 - 08:45</v>
      </c>
      <c r="D77" s="15" t="str">
        <f>IFERROR(VLOOKUP(HLOOKUP(KELAS,AWAL:SABTU3B,ROWS(AWAL:SABTU3B),0),DATAMAPEL,2,0),"")</f>
        <v/>
      </c>
      <c r="E77" s="83" t="str">
        <f>IFERROR(VLOOKUP(HLOOKUP(KELAS,AWAL:SABTU3B,ROWS(AWAL:SABTU3B)-1,0),DATAGURU,2,0),"")</f>
        <v/>
      </c>
      <c r="F77" s="24"/>
      <c r="G77" s="246"/>
      <c r="H77" s="247"/>
      <c r="I77" s="248"/>
      <c r="J77" s="25"/>
      <c r="K77" s="22"/>
    </row>
    <row r="78" spans="1:11" ht="21" customHeight="1" x14ac:dyDescent="0.3">
      <c r="A78" s="243"/>
      <c r="B78" s="7" t="e">
        <f>'JADWAL UMUM'!#REF!</f>
        <v>#REF!</v>
      </c>
      <c r="C78" s="13" t="str">
        <f>'JADWAL UMUM'!$C$17</f>
        <v>08:45 - 09:30</v>
      </c>
      <c r="D78" s="15" t="str">
        <f>IFERROR(VLOOKUP(HLOOKUP(KELAS,AWAL:SABTU4B,ROWS(AWAL:SABTU4B),0),DATAMAPEL,2,0),"")</f>
        <v/>
      </c>
      <c r="E78" s="83" t="str">
        <f>IFERROR(VLOOKUP(HLOOKUP(KELAS,AWAL:SABTU4B,ROWS(AWAL:SABTU4B)-1,0),DATAGURU,2,0),"")</f>
        <v/>
      </c>
      <c r="F78" s="24"/>
      <c r="G78" s="246"/>
      <c r="H78" s="247"/>
      <c r="I78" s="248"/>
      <c r="J78" s="25"/>
      <c r="K78" s="22"/>
    </row>
    <row r="79" spans="1:11" ht="21" customHeight="1" x14ac:dyDescent="0.3">
      <c r="A79" s="243"/>
      <c r="B79" s="7"/>
      <c r="C79" s="13" t="str">
        <f>'JADWAL UMUM'!$C$18</f>
        <v>09:30 - 09:50</v>
      </c>
      <c r="D79" s="235" t="s">
        <v>18</v>
      </c>
      <c r="E79" s="245"/>
      <c r="F79" s="35"/>
      <c r="G79" s="249"/>
      <c r="H79" s="250"/>
      <c r="I79" s="251"/>
      <c r="J79" s="36"/>
      <c r="K79" s="22"/>
    </row>
    <row r="80" spans="1:11" ht="21" customHeight="1" x14ac:dyDescent="0.3">
      <c r="A80" s="243"/>
      <c r="B80" s="7" t="e">
        <f>'JADWAL UMUM'!#REF!</f>
        <v>#REF!</v>
      </c>
      <c r="C80" s="13" t="str">
        <f>'JADWAL UMUM'!$C$19</f>
        <v>09:50 - 10:35</v>
      </c>
      <c r="D80" s="15" t="str">
        <f>IFERROR(VLOOKUP(HLOOKUP(KELAS,AWAL:SABTU5B,ROWS(AWAL:SABTU5B),0),DATAMAPEL,2,0),"")</f>
        <v/>
      </c>
      <c r="E80" s="83" t="str">
        <f>IFERROR(VLOOKUP(HLOOKUP(KELAS,AWAL:SABTU5B,ROWS(AWAL:SABTU5B)-1,0),DATAGURU,2,0),"")</f>
        <v/>
      </c>
      <c r="F80" s="24"/>
      <c r="G80" s="246"/>
      <c r="H80" s="247"/>
      <c r="I80" s="248"/>
      <c r="J80" s="25"/>
      <c r="K80" s="22"/>
    </row>
    <row r="81" spans="1:11" ht="21" customHeight="1" x14ac:dyDescent="0.3">
      <c r="A81" s="243"/>
      <c r="B81" s="7" t="e">
        <f>'JADWAL UMUM'!#REF!</f>
        <v>#REF!</v>
      </c>
      <c r="C81" s="13" t="str">
        <f>'JADWAL UMUM'!$C$20</f>
        <v>10:35 - 11:20</v>
      </c>
      <c r="D81" s="15" t="str">
        <f>IFERROR(VLOOKUP(HLOOKUP(KELAS,AWAL:SABTU6B,ROWS(AWAL:SABTU6B),0),DATAMAPEL,2,0),"")</f>
        <v/>
      </c>
      <c r="E81" s="83" t="str">
        <f>IFERROR(VLOOKUP(HLOOKUP(KELAS,AWAL:SABTU6B,ROWS(AWAL:SABTU6B)-1,0),DATAGURU,2,0),"")</f>
        <v/>
      </c>
      <c r="F81" s="24"/>
      <c r="G81" s="246"/>
      <c r="H81" s="247"/>
      <c r="I81" s="248"/>
      <c r="J81" s="25"/>
      <c r="K81" s="22"/>
    </row>
    <row r="82" spans="1:11" ht="21" customHeight="1" x14ac:dyDescent="0.3">
      <c r="A82" s="243"/>
      <c r="B82" s="7"/>
      <c r="C82" s="13" t="str">
        <f>'JADWAL UMUM'!$C$22</f>
        <v>12:05 - 12:45</v>
      </c>
      <c r="D82" s="235" t="s">
        <v>18</v>
      </c>
      <c r="E82" s="245"/>
      <c r="F82" s="35"/>
      <c r="G82" s="249"/>
      <c r="H82" s="250"/>
      <c r="I82" s="251"/>
      <c r="J82" s="36"/>
      <c r="K82" s="22"/>
    </row>
    <row r="83" spans="1:11" ht="21" customHeight="1" x14ac:dyDescent="0.3">
      <c r="A83" s="243"/>
      <c r="B83" s="7" t="e">
        <f>'JADWAL UMUM'!#REF!</f>
        <v>#REF!</v>
      </c>
      <c r="C83" s="13" t="str">
        <f>'JADWAL UMUM'!$C$21</f>
        <v>11:20 - 12:05</v>
      </c>
      <c r="D83" s="15" t="str">
        <f>IFERROR(VLOOKUP(HLOOKUP(KELAS,AWAL:SABTU7B,ROWS(AWAL:SABTU7B),0),DATAMAPEL,2,0),"")</f>
        <v/>
      </c>
      <c r="E83" s="83" t="str">
        <f>IFERROR(VLOOKUP(HLOOKUP(KELAS,AWAL:SABTU7B,ROWS(AWAL:SABTU7B)-1,0),DATAGURU,2,0),"")</f>
        <v/>
      </c>
      <c r="F83" s="24"/>
      <c r="G83" s="246"/>
      <c r="H83" s="247"/>
      <c r="I83" s="248"/>
      <c r="J83" s="25"/>
      <c r="K83" s="22"/>
    </row>
    <row r="84" spans="1:11" ht="21" customHeight="1" x14ac:dyDescent="0.3">
      <c r="A84" s="243"/>
      <c r="B84" s="7" t="e">
        <f>'JADWAL UMUM'!#REF!</f>
        <v>#REF!</v>
      </c>
      <c r="C84" s="13" t="str">
        <f>'JADWAL UMUM'!$C$23</f>
        <v>12:45 - 13:30</v>
      </c>
      <c r="D84" s="15" t="str">
        <f>IFERROR(VLOOKUP(HLOOKUP(KELAS,AWAL:SABTU8B,ROWS(AWAL:SABTU8B),0),DATAMAPEL,2,0),"")</f>
        <v/>
      </c>
      <c r="E84" s="83" t="str">
        <f>IFERROR(VLOOKUP(HLOOKUP(KELAS,AWAL:SABTU8B,ROWS(AWAL:SABTU8B)-1,0),DATAGURU,2,0),"")</f>
        <v/>
      </c>
      <c r="F84" s="24"/>
      <c r="G84" s="246"/>
      <c r="H84" s="247"/>
      <c r="I84" s="248"/>
      <c r="J84" s="25"/>
      <c r="K84" s="22"/>
    </row>
    <row r="85" spans="1:11" ht="21" customHeight="1" x14ac:dyDescent="0.3">
      <c r="A85" s="243"/>
      <c r="B85" s="7" t="e">
        <f>'JADWAL UMUM'!#REF!</f>
        <v>#REF!</v>
      </c>
      <c r="C85" s="13" t="str">
        <f>'JADWAL UMUM'!$C$24</f>
        <v>13:30 - 14:15</v>
      </c>
      <c r="D85" s="15" t="str">
        <f>IFERROR(VLOOKUP(HLOOKUP(KELAS,AWAL:SABTU9B,ROWS(AWAL:SABTU9B),0),DATAMAPEL,2,0),"")</f>
        <v/>
      </c>
      <c r="E85" s="83" t="str">
        <f>IFERROR(VLOOKUP(HLOOKUP(KELAS,AWAL:SABTU9B,ROWS(AWAL:SABTU9B)-1,0),DATAGURU,2,0),"")</f>
        <v/>
      </c>
      <c r="F85" s="24"/>
      <c r="G85" s="246"/>
      <c r="H85" s="247"/>
      <c r="I85" s="248"/>
      <c r="J85" s="25"/>
      <c r="K85" s="22"/>
    </row>
    <row r="86" spans="1:11" ht="21" customHeight="1" thickBot="1" x14ac:dyDescent="0.35">
      <c r="A86" s="244"/>
      <c r="B86" s="9" t="e">
        <f>'JADWAL UMUM'!#REF!</f>
        <v>#REF!</v>
      </c>
      <c r="C86" s="14" t="str">
        <f>'JADWAL UMUM'!$C$25</f>
        <v>14:15 - 15:00</v>
      </c>
      <c r="D86" s="16" t="str">
        <f>IFERROR(VLOOKUP(HLOOKUP(KELAS,AWAL:SABTU10B,ROWS(AWAL:SABTU10B),0),DATAMAPEL,2,0),"")</f>
        <v/>
      </c>
      <c r="E86" s="84" t="str">
        <f>IFERROR(VLOOKUP(HLOOKUP(KELAS,AWAL:SABTU10B,ROWS(AWAL:SABTU10B)-1,0),DATAGURU,2,0),"")</f>
        <v/>
      </c>
      <c r="F86" s="26"/>
      <c r="G86" s="252"/>
      <c r="H86" s="253"/>
      <c r="I86" s="254"/>
      <c r="J86" s="27"/>
      <c r="K86" s="22"/>
    </row>
    <row r="87" spans="1:11" ht="21" customHeight="1" thickTop="1" x14ac:dyDescent="0.3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</row>
    <row r="88" spans="1:11" ht="21" customHeight="1" x14ac:dyDescent="0.3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</row>
    <row r="89" spans="1:11" ht="21" customHeight="1" x14ac:dyDescent="0.3">
      <c r="A89" s="22"/>
      <c r="B89" s="30"/>
      <c r="C89" s="30"/>
      <c r="D89" s="30"/>
      <c r="E89" s="30"/>
      <c r="F89" s="30"/>
      <c r="G89" s="30"/>
      <c r="H89" s="22"/>
      <c r="I89" s="31">
        <f>'JADWAL UMUM'!T86</f>
        <v>0</v>
      </c>
      <c r="J89" s="30"/>
      <c r="K89" s="30"/>
    </row>
    <row r="90" spans="1:11" ht="21" customHeight="1" x14ac:dyDescent="0.3">
      <c r="A90" s="22"/>
      <c r="B90" s="32" t="str">
        <f>'JADWAL UMUM'!B86</f>
        <v>Mengetahui:</v>
      </c>
      <c r="C90" s="32"/>
      <c r="D90" s="32"/>
      <c r="E90" s="32"/>
      <c r="F90" s="32"/>
      <c r="G90" s="32"/>
      <c r="H90" s="22"/>
      <c r="I90" s="31"/>
      <c r="J90" s="32"/>
      <c r="K90" s="31"/>
    </row>
    <row r="91" spans="1:11" ht="21" customHeight="1" x14ac:dyDescent="0.3">
      <c r="A91" s="22"/>
      <c r="B91" s="32" t="str">
        <f>'JADWAL UMUM'!B87&amp;","</f>
        <v>Kepala Sekolah,</v>
      </c>
      <c r="C91" s="32"/>
      <c r="D91" s="32"/>
      <c r="E91" s="32"/>
      <c r="F91" s="32"/>
      <c r="G91" s="32"/>
      <c r="H91" s="22"/>
      <c r="I91" s="31" t="str">
        <f>'JADWAL UMUM'!T87</f>
        <v>Wakil Kepala Bidang Akademik</v>
      </c>
      <c r="J91" s="32"/>
      <c r="K91" s="31"/>
    </row>
    <row r="92" spans="1:11" ht="21" customHeight="1" x14ac:dyDescent="0.3">
      <c r="A92" s="22"/>
      <c r="B92" s="32"/>
      <c r="C92" s="32"/>
      <c r="D92" s="32"/>
      <c r="E92" s="32"/>
      <c r="F92" s="32"/>
      <c r="G92" s="32"/>
      <c r="H92" s="22"/>
      <c r="I92" s="31"/>
      <c r="J92" s="32"/>
      <c r="K92" s="31"/>
    </row>
    <row r="93" spans="1:11" ht="21" customHeight="1" x14ac:dyDescent="0.3">
      <c r="A93" s="22"/>
      <c r="B93" s="32"/>
      <c r="C93" s="32"/>
      <c r="D93" s="32"/>
      <c r="E93" s="32"/>
      <c r="F93" s="32"/>
      <c r="G93" s="32"/>
      <c r="H93" s="22"/>
      <c r="I93" s="31"/>
      <c r="J93" s="32"/>
      <c r="K93" s="31"/>
    </row>
    <row r="94" spans="1:11" ht="21" customHeight="1" x14ac:dyDescent="0.3">
      <c r="A94" s="22"/>
      <c r="B94" s="32"/>
      <c r="C94" s="32"/>
      <c r="D94" s="32"/>
      <c r="E94" s="32"/>
      <c r="F94" s="32"/>
      <c r="G94" s="32"/>
      <c r="H94" s="22"/>
      <c r="I94" s="31"/>
      <c r="J94" s="32"/>
      <c r="K94" s="31"/>
    </row>
    <row r="95" spans="1:11" ht="21" customHeight="1" x14ac:dyDescent="0.3">
      <c r="A95" s="22"/>
      <c r="B95" s="32"/>
      <c r="C95" s="32"/>
      <c r="D95" s="32"/>
      <c r="E95" s="32"/>
      <c r="F95" s="32"/>
      <c r="G95" s="32"/>
      <c r="H95" s="22"/>
      <c r="I95" s="31"/>
      <c r="J95" s="32"/>
      <c r="K95" s="31"/>
    </row>
    <row r="96" spans="1:11" ht="21" customHeight="1" x14ac:dyDescent="0.3">
      <c r="A96" s="22"/>
      <c r="B96" s="34" t="str">
        <f>'JADWAL UMUM'!B92</f>
        <v>Drs. Sodikin, M.Si</v>
      </c>
      <c r="C96" s="34"/>
      <c r="D96" s="34"/>
      <c r="E96" s="34"/>
      <c r="F96" s="34"/>
      <c r="G96" s="34"/>
      <c r="H96" s="22"/>
      <c r="I96" s="33" t="str">
        <f>'JADWAL UMUM'!T92</f>
        <v>Temy Yulianti, M.Pd</v>
      </c>
      <c r="J96" s="34"/>
      <c r="K96" s="33"/>
    </row>
    <row r="97" spans="1:11" ht="21" customHeight="1" x14ac:dyDescent="0.3">
      <c r="A97" s="22"/>
      <c r="B97" s="32" t="str">
        <f>'JADWAL UMUM'!B93</f>
        <v>NIP. 196810212003121001</v>
      </c>
      <c r="C97" s="32"/>
      <c r="D97" s="32"/>
      <c r="E97" s="32"/>
      <c r="F97" s="32"/>
      <c r="G97" s="32"/>
      <c r="H97" s="22"/>
      <c r="I97" s="31" t="str">
        <f>'JADWAL UMUM'!T93</f>
        <v>NIP. 197712102009122003</v>
      </c>
      <c r="J97" s="32"/>
      <c r="K97" s="31"/>
    </row>
  </sheetData>
  <mergeCells count="107">
    <mergeCell ref="G83:I83"/>
    <mergeCell ref="G84:I84"/>
    <mergeCell ref="G85:I85"/>
    <mergeCell ref="G86:I86"/>
    <mergeCell ref="G78:I78"/>
    <mergeCell ref="G79:I79"/>
    <mergeCell ref="G80:I80"/>
    <mergeCell ref="G81:I81"/>
    <mergeCell ref="G82:I82"/>
    <mergeCell ref="G73:I73"/>
    <mergeCell ref="G74:I74"/>
    <mergeCell ref="G75:I75"/>
    <mergeCell ref="G76:I76"/>
    <mergeCell ref="G77:I77"/>
    <mergeCell ref="G68:I68"/>
    <mergeCell ref="G69:I69"/>
    <mergeCell ref="G70:I70"/>
    <mergeCell ref="G71:I71"/>
    <mergeCell ref="G72:I72"/>
    <mergeCell ref="G63:I63"/>
    <mergeCell ref="G64:I64"/>
    <mergeCell ref="G65:I65"/>
    <mergeCell ref="G66:I66"/>
    <mergeCell ref="G67:I67"/>
    <mergeCell ref="G58:I58"/>
    <mergeCell ref="G59:I59"/>
    <mergeCell ref="G60:I60"/>
    <mergeCell ref="G61:I61"/>
    <mergeCell ref="G62:I62"/>
    <mergeCell ref="G53:I53"/>
    <mergeCell ref="G54:I54"/>
    <mergeCell ref="G55:I55"/>
    <mergeCell ref="G56:I56"/>
    <mergeCell ref="G57:I57"/>
    <mergeCell ref="G48:I48"/>
    <mergeCell ref="G49:I49"/>
    <mergeCell ref="G50:I50"/>
    <mergeCell ref="G51:I51"/>
    <mergeCell ref="G52:I52"/>
    <mergeCell ref="G43:I43"/>
    <mergeCell ref="G44:I44"/>
    <mergeCell ref="G45:I45"/>
    <mergeCell ref="G46:I46"/>
    <mergeCell ref="G47:I47"/>
    <mergeCell ref="G38:I38"/>
    <mergeCell ref="G39:I39"/>
    <mergeCell ref="G40:I40"/>
    <mergeCell ref="G41:I41"/>
    <mergeCell ref="G42:I42"/>
    <mergeCell ref="G33:I33"/>
    <mergeCell ref="G34:I34"/>
    <mergeCell ref="G35:I35"/>
    <mergeCell ref="G36:I36"/>
    <mergeCell ref="G37:I37"/>
    <mergeCell ref="G28:I28"/>
    <mergeCell ref="G29:I29"/>
    <mergeCell ref="G30:I30"/>
    <mergeCell ref="G31:I31"/>
    <mergeCell ref="G32:I32"/>
    <mergeCell ref="A8:J8"/>
    <mergeCell ref="A5:J6"/>
    <mergeCell ref="A4:J4"/>
    <mergeCell ref="A9:J10"/>
    <mergeCell ref="D15:J15"/>
    <mergeCell ref="A11:B11"/>
    <mergeCell ref="A13:A14"/>
    <mergeCell ref="B13:C13"/>
    <mergeCell ref="D13:D14"/>
    <mergeCell ref="E13:E14"/>
    <mergeCell ref="F13:F14"/>
    <mergeCell ref="J13:J14"/>
    <mergeCell ref="G13:I14"/>
    <mergeCell ref="G23:I23"/>
    <mergeCell ref="G24:I24"/>
    <mergeCell ref="G25:I25"/>
    <mergeCell ref="G26:I26"/>
    <mergeCell ref="G27:I27"/>
    <mergeCell ref="K16:K17"/>
    <mergeCell ref="K18:K19"/>
    <mergeCell ref="G16:I16"/>
    <mergeCell ref="G17:I17"/>
    <mergeCell ref="G18:I18"/>
    <mergeCell ref="G19:I19"/>
    <mergeCell ref="A1:J1"/>
    <mergeCell ref="A2:J2"/>
    <mergeCell ref="A3:J3"/>
    <mergeCell ref="A75:A86"/>
    <mergeCell ref="D43:E43"/>
    <mergeCell ref="D79:E79"/>
    <mergeCell ref="D46:E46"/>
    <mergeCell ref="D82:E82"/>
    <mergeCell ref="A63:A74"/>
    <mergeCell ref="D67:E67"/>
    <mergeCell ref="D70:E70"/>
    <mergeCell ref="A51:A62"/>
    <mergeCell ref="D55:E55"/>
    <mergeCell ref="D58:E58"/>
    <mergeCell ref="A39:A50"/>
    <mergeCell ref="A27:A38"/>
    <mergeCell ref="D31:E31"/>
    <mergeCell ref="D34:E34"/>
    <mergeCell ref="A15:A26"/>
    <mergeCell ref="D19:E19"/>
    <mergeCell ref="D22:E22"/>
    <mergeCell ref="G20:I20"/>
    <mergeCell ref="G21:I21"/>
    <mergeCell ref="G22:I22"/>
  </mergeCells>
  <dataValidations disablePrompts="1" count="1">
    <dataValidation type="list" allowBlank="1" showInputMessage="1" showErrorMessage="1" sqref="J11" xr:uid="{0319679C-7C7C-4BB9-BAB0-271AD7AF8BF5}">
      <formula1>$D$114:$AG$114</formula1>
    </dataValidation>
  </dataValidations>
  <printOptions horizontalCentered="1"/>
  <pageMargins left="0.39370078740157483" right="0.39370078740157483" top="0.41" bottom="0.39370078740157483" header="0.31496062992125984" footer="0.31496062992125984"/>
  <pageSetup paperSize="5" scale="48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C19F578-9901-46A2-8D39-E5FF69C249E9}">
          <x14:formula1>
            <xm:f>'JADWAL UMUM'!$D$84:$R$84</xm:f>
          </x14:formula1>
          <xm:sqref>C11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</vt:i4>
      </vt:variant>
    </vt:vector>
  </HeadingPairs>
  <TitlesOfParts>
    <vt:vector size="48" baseType="lpstr">
      <vt:lpstr>HOME</vt:lpstr>
      <vt:lpstr>JADWAL UMUM</vt:lpstr>
      <vt:lpstr>JADWAL PER GURU</vt:lpstr>
      <vt:lpstr>JADWAL PER KELAS</vt:lpstr>
      <vt:lpstr>JURNAL</vt:lpstr>
      <vt:lpstr>DATAGURU</vt:lpstr>
      <vt:lpstr>DATAMAPEL</vt:lpstr>
      <vt:lpstr>JUMAT1A</vt:lpstr>
      <vt:lpstr>JUMAT2A</vt:lpstr>
      <vt:lpstr>JUMAT3A</vt:lpstr>
      <vt:lpstr>JUMAT4A</vt:lpstr>
      <vt:lpstr>JUMAT5A</vt:lpstr>
      <vt:lpstr>JUMAT6A</vt:lpstr>
      <vt:lpstr>KAMIS1A</vt:lpstr>
      <vt:lpstr>KAMIS2A</vt:lpstr>
      <vt:lpstr>KAMIS3A</vt:lpstr>
      <vt:lpstr>KAMIS4A</vt:lpstr>
      <vt:lpstr>KAMIS5A</vt:lpstr>
      <vt:lpstr>KAMIS6A</vt:lpstr>
      <vt:lpstr>JURNAL!KELAS</vt:lpstr>
      <vt:lpstr>KELAS</vt:lpstr>
      <vt:lpstr>KODEGURU</vt:lpstr>
      <vt:lpstr>'JADWAL PER GURU'!Print_Area</vt:lpstr>
      <vt:lpstr>'JADWAL PER KELAS'!Print_Area</vt:lpstr>
      <vt:lpstr>'JADWAL UMUM'!Print_Area</vt:lpstr>
      <vt:lpstr>JURNAL!Print_Area</vt:lpstr>
      <vt:lpstr>RABU1A</vt:lpstr>
      <vt:lpstr>RABU2A</vt:lpstr>
      <vt:lpstr>RABU3A</vt:lpstr>
      <vt:lpstr>RABU4A</vt:lpstr>
      <vt:lpstr>RABU5A</vt:lpstr>
      <vt:lpstr>RABU6A</vt:lpstr>
      <vt:lpstr>SELASA1A</vt:lpstr>
      <vt:lpstr>SELASA2A</vt:lpstr>
      <vt:lpstr>SELASA3A</vt:lpstr>
      <vt:lpstr>SELASA4A</vt:lpstr>
      <vt:lpstr>SELASA5A</vt:lpstr>
      <vt:lpstr>SELASA6A</vt:lpstr>
      <vt:lpstr>SELASA7A</vt:lpstr>
      <vt:lpstr>SENIN1A</vt:lpstr>
      <vt:lpstr>SENIN2A</vt:lpstr>
      <vt:lpstr>SENIN3A</vt:lpstr>
      <vt:lpstr>SENIN4A</vt:lpstr>
      <vt:lpstr>SENIN5A</vt:lpstr>
      <vt:lpstr>SENIN6A</vt:lpstr>
      <vt:lpstr>SENIN7A</vt:lpstr>
      <vt:lpstr>SENIN8A</vt:lpstr>
      <vt:lpstr>SENIN9A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p</cp:lastModifiedBy>
  <cp:lastPrinted>2025-07-20T12:34:42Z</cp:lastPrinted>
  <dcterms:created xsi:type="dcterms:W3CDTF">2021-07-06T09:48:21Z</dcterms:created>
  <dcterms:modified xsi:type="dcterms:W3CDTF">2026-10-12T06:40:41Z</dcterms:modified>
</cp:coreProperties>
</file>